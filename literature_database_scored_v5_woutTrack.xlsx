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flavia/Downloads/MiniViva Report/LitRev/files/files_withTrack/files_cluster/"/>
    </mc:Choice>
  </mc:AlternateContent>
  <xr:revisionPtr revIDLastSave="0" documentId="13_ncr:1_{5D6CEA06-0A6E-FB4F-BD64-C31F54E386AD}" xr6:coauthVersionLast="47" xr6:coauthVersionMax="47" xr10:uidLastSave="{00000000-0000-0000-0000-000000000000}"/>
  <bookViews>
    <workbookView xWindow="0" yWindow="660" windowWidth="29600" windowHeight="16680" tabRatio="500" activeTab="1" xr2:uid="{00000000-000D-0000-FFFF-FFFF00000000}"/>
  </bookViews>
  <sheets>
    <sheet name="Read me" sheetId="1" r:id="rId1"/>
    <sheet name="Articles" sheetId="2" r:id="rId2"/>
    <sheet name="Summary" sheetId="3" r:id="rId3"/>
    <sheet name="Axis scoring" sheetId="4" r:id="rId4"/>
    <sheet name="Axis Fla" sheetId="5" r:id="rId5"/>
    <sheet name="Axis Fla criteria" sheetId="6" r:id="rId6"/>
    <sheet name="GANTT Chart" sheetId="7" r:id="rId7"/>
  </sheets>
  <definedNames>
    <definedName name="_xlnm._FilterDatabase" localSheetId="1" hidden="1">Articles!$A$1:$BJ$319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N280" i="2" l="1"/>
  <c r="AO280" i="2"/>
  <c r="AO279" i="2"/>
  <c r="BB279" i="2"/>
  <c r="AP279" i="2" s="1"/>
  <c r="BB280" i="2"/>
  <c r="AP280" i="2" s="1"/>
  <c r="AN279" i="2"/>
  <c r="AA283" i="2"/>
  <c r="AA282" i="2"/>
  <c r="AA281" i="2"/>
  <c r="AA280" i="2"/>
  <c r="AA279" i="2"/>
  <c r="AW214" i="2"/>
  <c r="AZ214" i="2"/>
  <c r="BA214" i="2"/>
  <c r="BB214" i="2"/>
  <c r="AX214" i="2"/>
  <c r="AY212" i="2"/>
  <c r="AY204" i="2"/>
  <c r="AY209" i="2"/>
  <c r="AY214" i="2" s="1"/>
  <c r="AY200" i="2"/>
  <c r="AN209" i="2"/>
  <c r="AO209" i="2"/>
  <c r="AP209" i="2"/>
  <c r="AN204" i="2"/>
  <c r="AO204" i="2"/>
  <c r="BB204" i="2"/>
  <c r="AP204" i="2" s="1"/>
  <c r="AO200" i="2"/>
  <c r="AP200" i="2"/>
  <c r="AN200" i="2"/>
  <c r="AA214" i="2"/>
  <c r="AA212" i="2"/>
  <c r="AA210" i="2"/>
  <c r="AA209" i="2"/>
  <c r="AA204" i="2"/>
  <c r="AA200" i="2"/>
  <c r="AO311" i="2"/>
  <c r="AP311" i="2"/>
  <c r="AN311" i="2"/>
  <c r="AP308" i="2"/>
  <c r="AN308" i="2"/>
  <c r="AO306" i="2"/>
  <c r="AP306" i="2"/>
  <c r="AN306" i="2"/>
  <c r="AA311" i="2"/>
  <c r="AA308" i="2"/>
  <c r="AA306" i="2"/>
  <c r="AA304" i="2"/>
  <c r="AA303" i="2"/>
  <c r="AN290" i="2"/>
  <c r="BE135" i="2"/>
  <c r="BB135" i="2"/>
  <c r="AP135" i="2"/>
  <c r="AO135" i="2"/>
  <c r="AN135" i="2"/>
  <c r="AM135" i="2"/>
  <c r="AA135" i="2"/>
  <c r="AM132" i="2"/>
  <c r="AN132" i="2"/>
  <c r="AO132" i="2"/>
  <c r="BE132" i="2"/>
  <c r="BB132" i="2"/>
  <c r="AP132" i="2" s="1"/>
  <c r="AO130" i="2"/>
  <c r="AN130" i="2"/>
  <c r="BE130" i="2"/>
  <c r="BB130" i="2"/>
  <c r="AP130" i="2" s="1"/>
  <c r="AM130" i="2"/>
  <c r="AA132" i="2"/>
  <c r="AA130" i="2"/>
  <c r="AA139" i="2"/>
  <c r="AQ120" i="2"/>
  <c r="AP297" i="2"/>
  <c r="AP120" i="2" s="1"/>
  <c r="AO297" i="2"/>
  <c r="AO120" i="2" s="1"/>
  <c r="AN297" i="2"/>
  <c r="AN120" i="2" s="1"/>
  <c r="L3" i="5"/>
  <c r="L16" i="5" s="1"/>
  <c r="K3" i="5"/>
  <c r="K16" i="5" s="1"/>
  <c r="C29" i="3"/>
  <c r="C28" i="3"/>
  <c r="C27" i="3"/>
  <c r="C26" i="3"/>
  <c r="C25" i="3"/>
  <c r="C24" i="3"/>
  <c r="C23" i="3"/>
  <c r="F22" i="3"/>
  <c r="C22" i="3"/>
  <c r="F21" i="3"/>
  <c r="C21" i="3"/>
  <c r="L20" i="3"/>
  <c r="F20" i="3"/>
  <c r="C20" i="3"/>
  <c r="L19" i="3"/>
  <c r="F19" i="3"/>
  <c r="C19" i="3"/>
  <c r="L18" i="3"/>
  <c r="F18" i="3"/>
  <c r="C18" i="3"/>
  <c r="L17" i="3"/>
  <c r="F17" i="3"/>
  <c r="C17" i="3"/>
  <c r="L16" i="3"/>
  <c r="I16" i="3"/>
  <c r="F16" i="3"/>
  <c r="C16" i="3"/>
  <c r="L15" i="3"/>
  <c r="I15" i="3"/>
  <c r="F15" i="3"/>
  <c r="C15" i="3"/>
  <c r="L14" i="3"/>
  <c r="I14" i="3"/>
  <c r="F14" i="3"/>
  <c r="C14" i="3"/>
  <c r="I13" i="3"/>
  <c r="F13" i="3"/>
  <c r="C13" i="3"/>
  <c r="I12" i="3"/>
  <c r="F12" i="3"/>
  <c r="C12" i="3"/>
  <c r="I11" i="3"/>
  <c r="F11" i="3"/>
  <c r="C11" i="3"/>
  <c r="L10" i="3"/>
  <c r="I10" i="3"/>
  <c r="F10" i="3"/>
  <c r="C10" i="3"/>
  <c r="L9" i="3"/>
  <c r="I9" i="3"/>
  <c r="F9" i="3"/>
  <c r="C9" i="3"/>
  <c r="L8" i="3"/>
  <c r="I8" i="3"/>
  <c r="F8" i="3"/>
  <c r="C8" i="3"/>
  <c r="L7" i="3"/>
  <c r="I7" i="3"/>
  <c r="F7" i="3"/>
  <c r="C7" i="3"/>
  <c r="L6" i="3"/>
  <c r="I6" i="3"/>
  <c r="F6" i="3"/>
  <c r="C6" i="3"/>
  <c r="AA115" i="2"/>
  <c r="AA81" i="2"/>
  <c r="AA183" i="2"/>
  <c r="AA116" i="2"/>
  <c r="AA178" i="2"/>
  <c r="AA197" i="2"/>
  <c r="AA263" i="2"/>
  <c r="AA261" i="2"/>
  <c r="AP300" i="2"/>
  <c r="AA300" i="2"/>
  <c r="AA218" i="2"/>
  <c r="AA258" i="2"/>
  <c r="AP298" i="2"/>
  <c r="AA298" i="2"/>
  <c r="AA256" i="2"/>
  <c r="BB288" i="2"/>
  <c r="AZ288" i="2"/>
  <c r="AW288" i="2"/>
  <c r="AA288" i="2"/>
  <c r="BB286" i="2"/>
  <c r="AW286" i="2"/>
  <c r="AA286" i="2"/>
  <c r="AW285" i="2"/>
  <c r="AA285" i="2"/>
  <c r="AA247" i="2"/>
  <c r="AA246" i="2"/>
  <c r="AA245" i="2"/>
  <c r="AA244" i="2"/>
  <c r="AA243" i="2"/>
  <c r="AA242" i="2"/>
  <c r="AA24" i="2"/>
  <c r="AA240" i="2"/>
  <c r="AA199" i="2"/>
  <c r="AA238" i="2"/>
  <c r="AA191" i="2"/>
  <c r="AA234" i="2"/>
  <c r="AA233" i="2"/>
  <c r="AA97" i="2"/>
  <c r="AA42" i="2"/>
  <c r="AA49" i="2"/>
  <c r="AA47" i="2"/>
  <c r="AA38" i="2"/>
  <c r="AA28" i="2"/>
  <c r="AA41" i="2"/>
  <c r="AA23" i="2"/>
  <c r="AA21" i="2"/>
  <c r="AA40" i="2"/>
  <c r="AA39" i="2"/>
  <c r="AA26" i="2"/>
  <c r="AA37" i="2"/>
  <c r="AA219" i="2"/>
  <c r="AA29" i="2"/>
  <c r="AA217" i="2"/>
  <c r="AA216" i="2"/>
  <c r="AA254" i="2"/>
  <c r="AA74" i="2"/>
  <c r="AA213" i="2"/>
  <c r="AA290" i="2"/>
  <c r="AA211" i="2"/>
  <c r="AA78" i="2"/>
  <c r="AA173" i="2"/>
  <c r="AA208" i="2"/>
  <c r="AA207" i="2"/>
  <c r="AA206" i="2"/>
  <c r="AA205" i="2"/>
  <c r="AA319" i="2"/>
  <c r="AA203" i="2"/>
  <c r="AA202" i="2"/>
  <c r="AA201" i="2"/>
  <c r="AA157" i="2"/>
  <c r="AA88" i="2"/>
  <c r="AA305" i="2"/>
  <c r="AA53" i="2"/>
  <c r="AA73" i="2"/>
  <c r="AA55" i="2"/>
  <c r="AA65" i="2"/>
  <c r="AA63" i="2"/>
  <c r="AA54" i="2"/>
  <c r="AA190" i="2"/>
  <c r="AA318" i="2"/>
  <c r="AA188" i="2"/>
  <c r="AA275" i="2"/>
  <c r="AA274" i="2"/>
  <c r="AA185" i="2"/>
  <c r="AA140" i="2"/>
  <c r="AZ284" i="2"/>
  <c r="AW284" i="2"/>
  <c r="AA284" i="2"/>
  <c r="AA182" i="2"/>
  <c r="AA181" i="2"/>
  <c r="AA180" i="2"/>
  <c r="AA179" i="2"/>
  <c r="AA117" i="2"/>
  <c r="AA177" i="2"/>
  <c r="AA176" i="2"/>
  <c r="AA175" i="2"/>
  <c r="AA174" i="2"/>
  <c r="AA221" i="2"/>
  <c r="AA172" i="2"/>
  <c r="AA171" i="2"/>
  <c r="AA170" i="2"/>
  <c r="AA169" i="2"/>
  <c r="AA168" i="2"/>
  <c r="AA167" i="2"/>
  <c r="AA166" i="2"/>
  <c r="AA165" i="2"/>
  <c r="AA164" i="2"/>
  <c r="AA163" i="2"/>
  <c r="AA162" i="2"/>
  <c r="AA161" i="2"/>
  <c r="AA160" i="2"/>
  <c r="AA159" i="2"/>
  <c r="AA158" i="2"/>
  <c r="AA92" i="2"/>
  <c r="AA146" i="2"/>
  <c r="AA155" i="2"/>
  <c r="AA75" i="2"/>
  <c r="AA299" i="2"/>
  <c r="AA85" i="2"/>
  <c r="AA151" i="2"/>
  <c r="AA150" i="2"/>
  <c r="AA149" i="2"/>
  <c r="AA148" i="2"/>
  <c r="AA147" i="2"/>
  <c r="AA145" i="2"/>
  <c r="AA144" i="2"/>
  <c r="AA143" i="2"/>
  <c r="AA142" i="2"/>
  <c r="AA141" i="2"/>
  <c r="AA277" i="2"/>
  <c r="AA103" i="2"/>
  <c r="AA138" i="2"/>
  <c r="AA137" i="2"/>
  <c r="AA136" i="2"/>
  <c r="AA91" i="2"/>
  <c r="AA134" i="2"/>
  <c r="AA133" i="2"/>
  <c r="AA76" i="2"/>
  <c r="AA131" i="2"/>
  <c r="AA72" i="2"/>
  <c r="AA129" i="2"/>
  <c r="AA128" i="2"/>
  <c r="AA127" i="2"/>
  <c r="AA126" i="2"/>
  <c r="AA125" i="2"/>
  <c r="AA124" i="2"/>
  <c r="AA123" i="2"/>
  <c r="AA122" i="2"/>
  <c r="AA118" i="2"/>
  <c r="AA225" i="2"/>
  <c r="AA310" i="2"/>
  <c r="AA260" i="2"/>
  <c r="AA51" i="2"/>
  <c r="AA113" i="2"/>
  <c r="AA112" i="2"/>
  <c r="AA111" i="2"/>
  <c r="AA110" i="2"/>
  <c r="AA109" i="2"/>
  <c r="AA108" i="2"/>
  <c r="AA107" i="2"/>
  <c r="AA106" i="2"/>
  <c r="AA105" i="2"/>
  <c r="AA104" i="2"/>
  <c r="AA273" i="2"/>
  <c r="AA102" i="2"/>
  <c r="AA101" i="2"/>
  <c r="AA100" i="2"/>
  <c r="AA99" i="2"/>
  <c r="AA98" i="2"/>
  <c r="AA307" i="2"/>
  <c r="AA96" i="2"/>
  <c r="AA95" i="2"/>
  <c r="AA93" i="2"/>
  <c r="AA289" i="2"/>
  <c r="AA252" i="2"/>
  <c r="AA90" i="2"/>
  <c r="AA89" i="2"/>
  <c r="AA253" i="2"/>
  <c r="AA87" i="2"/>
  <c r="AA86" i="2"/>
  <c r="AA239" i="2"/>
  <c r="AA84" i="2"/>
  <c r="AA83" i="2"/>
  <c r="AA82" i="2"/>
  <c r="AA314" i="2"/>
  <c r="AA80" i="2"/>
  <c r="AA79" i="2"/>
  <c r="AA315" i="2"/>
  <c r="AA77" i="2"/>
  <c r="AA309" i="2"/>
  <c r="AW56" i="2"/>
  <c r="AA56" i="2"/>
  <c r="AA259" i="2"/>
  <c r="AA312" i="2"/>
  <c r="AA313" i="2"/>
  <c r="AA71" i="2"/>
  <c r="AA70" i="2"/>
  <c r="AA69" i="2"/>
  <c r="AA68" i="2"/>
  <c r="AA67" i="2"/>
  <c r="AA66" i="2"/>
  <c r="AA237" i="2"/>
  <c r="AA64" i="2"/>
  <c r="AA231" i="2"/>
  <c r="AA62" i="2"/>
  <c r="AA61" i="2"/>
  <c r="AA60" i="2"/>
  <c r="AA59" i="2"/>
  <c r="AA58" i="2"/>
  <c r="AA57" i="2"/>
  <c r="AA230" i="2"/>
  <c r="AA229" i="2"/>
  <c r="AA228" i="2"/>
  <c r="AA227" i="2"/>
  <c r="AA52" i="2"/>
  <c r="AA224" i="2"/>
  <c r="AA50" i="2"/>
  <c r="AA226" i="2"/>
  <c r="AA48" i="2"/>
  <c r="AA241" i="2"/>
  <c r="AA46" i="2"/>
  <c r="AA45" i="2"/>
  <c r="AA44" i="2"/>
  <c r="AA43" i="2"/>
  <c r="AA232" i="2"/>
  <c r="AA223" i="2"/>
  <c r="AA222" i="2"/>
  <c r="AA271" i="2"/>
  <c r="AA257" i="2"/>
  <c r="AA268" i="2"/>
  <c r="AA36" i="2"/>
  <c r="AA35" i="2"/>
  <c r="AA34" i="2"/>
  <c r="AA33" i="2"/>
  <c r="AA32" i="2"/>
  <c r="AA31" i="2"/>
  <c r="AA30" i="2"/>
  <c r="AA317" i="2"/>
  <c r="AA278" i="2"/>
  <c r="AA27" i="2"/>
  <c r="AA272" i="2"/>
  <c r="AA25" i="2"/>
  <c r="AA270" i="2"/>
  <c r="AA269" i="2"/>
  <c r="AA22" i="2"/>
  <c r="AA316" i="2"/>
  <c r="AA20" i="2"/>
  <c r="AA19" i="2"/>
  <c r="AA18" i="2"/>
  <c r="AA17" i="2"/>
  <c r="AA16" i="2"/>
  <c r="AA15" i="2"/>
  <c r="AA14" i="2"/>
  <c r="AA13" i="2"/>
  <c r="AA12" i="2"/>
  <c r="AA11" i="2"/>
  <c r="AA10" i="2"/>
  <c r="AA9" i="2"/>
  <c r="AA8" i="2"/>
  <c r="AA7" i="2"/>
  <c r="AA6" i="2"/>
  <c r="AA5" i="2"/>
  <c r="AA4" i="2"/>
  <c r="AA3" i="2"/>
  <c r="AA2" i="2"/>
  <c r="L21" i="3" l="1"/>
  <c r="F23" i="3"/>
  <c r="I17" i="3"/>
  <c r="C30" i="3"/>
  <c r="L11" i="3"/>
  <c r="K4" i="5"/>
  <c r="L4" i="5"/>
  <c r="K5" i="5"/>
  <c r="L5" i="5"/>
  <c r="K6" i="5"/>
  <c r="L6" i="5"/>
  <c r="L7" i="5"/>
</calcChain>
</file>

<file path=xl/sharedStrings.xml><?xml version="1.0" encoding="utf-8"?>
<sst xmlns="http://schemas.openxmlformats.org/spreadsheetml/2006/main" count="6593" uniqueCount="2231">
  <si>
    <t>PhD literature database</t>
  </si>
  <si>
    <t>Built from 5 BibTeX files: AIF, action control, decision making, OFC (optimal feedback control), saliency. 139 references from your files, plus 21 suggested foundational / surprise additions = 160 rows, no duplicate keys.</t>
  </si>
  <si>
    <t>How to use it</t>
  </si>
  <si>
    <t>1. Articles sheet = one row per reference. Categorical columns (Topic, Study type, Species, Framework, Thematic file, Review section) use a controlled vocabulary so they pivot and plot cleanly.</t>
  </si>
  <si>
    <t>2. Summary sheet = live COUNTIF tables + bar charts by topic, study type, framework, thematic file and species. They recalculate when you edit or filter Articles.</t>
  </si>
  <si>
    <t>3. Read status / Relevance / My notes columns for details on the ref</t>
  </si>
  <si>
    <t>Suggested additions (the 21 new rows)</t>
  </si>
  <si>
    <t>21 foundational / surprise papers that were missing from your 5 files have been added: predictive-coding &amp; free-energy foundations (Rao &amp; Ballard 1999, Friston/Kilner/Harrison 2006, Bastos 2012, Clark 2013, Buckley 2017, Da Costa 2020, Smith 2022, Friston curiosity 2017, Knill &amp; Pouget 2004), surprise / novelty (Itti &amp; Baldi 2009, Schmidhuber 2010, Barto 2013, Yu &amp; Dayan 2005), and sensorimotor / decision foundations (Wolpert 1995, Harris &amp; Wolpert 1998, Koerding &amp; Wolpert 2004, Gold &amp; Shadlen 2007, Bogacz 2006, Schultz 1997, Behrens 2007, Shadmehr 2010). They are marked Read status = "New" and Entry source = "Suggested addition - verify". Filter either column to see only them. Their full BibTeX is in additions.bib (and appended to references.bib).</t>
  </si>
  <si>
    <t>These additions have NOT been read either - the citation details were checked against publisher records, but verify each paper before citing.</t>
  </si>
  <si>
    <t>Reading priority (the Relevance 1-5 column)</t>
  </si>
  <si>
    <t>Every row now has a Relevance score to give reading order and importance to the review. 5 = read first, 1 = reference only. The scores are a suggested priority, biased toward the spine of the review (decisions-during-movement, optimal feedback control vs active inference, saliency-to-action, the vertex potential, and surprise). Sort or filter the Relevance column to plan your reading; treat it as a starting point and overwrite freely.</t>
  </si>
  <si>
    <t xml:space="preserve">5 = read first - core to the thesis spine </t>
  </si>
  <si>
    <t>4 = high priority - strong supporting papers within each core theme and the key foundations.</t>
  </si>
  <si>
    <t>3 = useful context - relevant secondary studies, reviews and methods.</t>
  </si>
  <si>
    <t>2 = background - foundational books, historical pieces, more tangential or applied work.</t>
  </si>
  <si>
    <t>1 = reference only - peripheral (guidelines, generic textbooks, far-field background).</t>
  </si>
  <si>
    <t>Column guide</t>
  </si>
  <si>
    <t>CiteKey - BibTeX key, matches the .tex and references.bib exactly.</t>
  </si>
  <si>
    <t>Topic - fine-grained subject grouping (21 values) for plotting.</t>
  </si>
  <si>
    <t>Study type - Theory, Review, Human behaviour, Human EEG/MEG, Human fMRI, Human TMS, NHP electrophysiology, Rodent electrophysiology, Computational model, Robotics/simulation, Methods/tools, Book, Thesis, Historical, Empirical.</t>
  </si>
  <si>
    <t>Species / model - Human, Non-human primate, Rodent, Multiple/cross-species, Theoretical, Computational/N-A, N/A.</t>
  </si>
  <si>
    <t>Framework - the conceptual lens the work sits in or informs (active inference, optimal feedback control, affordance competition, salience detection, corollary discharge, agency, peripersonal space, ecological/dynamical, statistical decision theory, neural dynamics, foundational).</t>
  </si>
  <si>
    <t>Review section - the section of the draft literature review where the reference is discussed.</t>
  </si>
  <si>
    <t xml:space="preserve">Read status - reading state; dropdown New / To read / Reading / Read / Skim only / Cited. </t>
  </si>
  <si>
    <t>Entry source - "Original ( .bib)" for your 139 references, "Suggested addition - verify" for the 21 new foundational / surprise papers. And then added after conferences, reading new papaers etc</t>
  </si>
  <si>
    <t>Notes - relevant notes about the file</t>
  </si>
  <si>
    <t>CiteKey</t>
  </si>
  <si>
    <t>Authors</t>
  </si>
  <si>
    <t>Year</t>
  </si>
  <si>
    <t>Title</t>
  </si>
  <si>
    <t>Thematic file</t>
  </si>
  <si>
    <t>Topic</t>
  </si>
  <si>
    <t>Study type</t>
  </si>
  <si>
    <t>Species / model</t>
  </si>
  <si>
    <t>Task</t>
  </si>
  <si>
    <t>Method</t>
  </si>
  <si>
    <t>Computational Framework</t>
  </si>
  <si>
    <t>Phenomenon</t>
  </si>
  <si>
    <t>One-line summary</t>
  </si>
  <si>
    <t>Review section</t>
  </si>
  <si>
    <t>Source</t>
  </si>
  <si>
    <t>DOI / URL</t>
  </si>
  <si>
    <t>Read status</t>
  </si>
  <si>
    <t>Scored status</t>
  </si>
  <si>
    <t>Relevance 1-5</t>
  </si>
  <si>
    <t>Notes</t>
  </si>
  <si>
    <t>Abstract</t>
  </si>
  <si>
    <t>Entry source</t>
  </si>
  <si>
    <t>axis_x_engagement</t>
  </si>
  <si>
    <t>axis_y_action_timescale</t>
  </si>
  <si>
    <t>axis_z_surprise_timescale</t>
  </si>
  <si>
    <t>axis_rho_predictiveness</t>
  </si>
  <si>
    <t>is_paradigm</t>
  </si>
  <si>
    <t>paradigm_kind</t>
  </si>
  <si>
    <t>P_PC</t>
  </si>
  <si>
    <t>P_AIF</t>
  </si>
  <si>
    <t>P_OFC</t>
  </si>
  <si>
    <t>P_SDT</t>
  </si>
  <si>
    <t>P_DDM</t>
  </si>
  <si>
    <t>P_AC</t>
  </si>
  <si>
    <t>P_SAL</t>
  </si>
  <si>
    <t>P_RL</t>
  </si>
  <si>
    <t>dominant_account</t>
  </si>
  <si>
    <t xml:space="preserve">x axis (motor task difficulty): </t>
  </si>
  <si>
    <t xml:space="preserve">y axis (motor task task timescale): </t>
  </si>
  <si>
    <t xml:space="preserve">z axis (external surprise hierarchy): </t>
  </si>
  <si>
    <t xml:space="preserve">tr axis (Task relevance of the external stimuli): </t>
  </si>
  <si>
    <t>ts axis(magnitude of external surprise)</t>
  </si>
  <si>
    <t xml:space="preserve">x_1 axis (non-motor task difficulty): </t>
  </si>
  <si>
    <t xml:space="preserve">y_1 axis (non-motor task task timescale): </t>
  </si>
  <si>
    <t>Com Account (dominant)</t>
  </si>
  <si>
    <t>Note on task</t>
  </si>
  <si>
    <t>Note on non-motor</t>
  </si>
  <si>
    <t>Note on the surprise axis criteria</t>
  </si>
  <si>
    <t xml:space="preserve">z1 axis (external surprise hierarchy): </t>
  </si>
  <si>
    <t xml:space="preserve">tr1 axis (Task relevance of the external stimuli): </t>
  </si>
  <si>
    <t>ts1 axis(magnitude of external surprise)</t>
  </si>
  <si>
    <t xml:space="preserve">z2 axis (external surprise hierarchy): </t>
  </si>
  <si>
    <t xml:space="preserve">tr2 axis (Task relevance of the external stimuli): </t>
  </si>
  <si>
    <t>ts2 axis(magnitude of external surprise)</t>
  </si>
  <si>
    <t>scorable</t>
  </si>
  <si>
    <t>confidence</t>
  </si>
  <si>
    <t>score provenance</t>
  </si>
  <si>
    <t>scoring note</t>
  </si>
  <si>
    <t>r axis (endo/exo)</t>
  </si>
  <si>
    <t>friston2003dynamic</t>
  </si>
  <si>
    <t>Friston, Harrison &amp; Penny</t>
  </si>
  <si>
    <t>2003</t>
  </si>
  <si>
    <t>Dynamic causal modelling</t>
  </si>
  <si>
    <t>AIF</t>
  </si>
  <si>
    <t>Methods / tools</t>
  </si>
  <si>
    <t>Human</t>
  </si>
  <si>
    <t>Neuroimaging modelling</t>
  </si>
  <si>
    <t>Free-energy / active inference</t>
  </si>
  <si>
    <t>Introduces dynamic causal modelling to infer effective connectivity from neuroimaging.</t>
  </si>
  <si>
    <t>Methods / appendix</t>
  </si>
  <si>
    <t>Neuroimage</t>
  </si>
  <si>
    <t>Original (.bib)</t>
  </si>
  <si>
    <t>theory/review</t>
  </si>
  <si>
    <t>no</t>
  </si>
  <si>
    <t>not a paradigm / not reached</t>
  </si>
  <si>
    <t>theory, review, model or record with no recoverable design</t>
  </si>
  <si>
    <t>friston2011optimal</t>
  </si>
  <si>
    <t>Friston</t>
  </si>
  <si>
    <t>2011</t>
  </si>
  <si>
    <t>What is optimal about motor control?</t>
  </si>
  <si>
    <t>Active inference / free energy</t>
  </si>
  <si>
    <t>Theory / conceptual</t>
  </si>
  <si>
    <t>Theoretical</t>
  </si>
  <si>
    <t>Theory</t>
  </si>
  <si>
    <t>Argues motor control is better cast as active inference than as optimal control with explicit cost functions.</t>
  </si>
  <si>
    <t>2 Control frameworks</t>
  </si>
  <si>
    <t>Neuron</t>
  </si>
  <si>
    <t>Read</t>
  </si>
  <si>
    <t xml:space="preserve">This is one of the core ideas I want to develop and explore. The difference and transition to OFC to AIF (developed better in the manuscript) but pretty much collapsing things together and changing cost fucntions for priors and distributions. Argues active inference better naturally incorporates the action-perception loop (without the necessity of any homunculus). Therefore, argues AIF valid for any kind of naturalistic paradigm, that requeries action and perception. Also, for more information check the OFC to AIF in my notes. Explicitly, key formal path from optimal control to active inference, with schemes that I should include in this review with my own touch, and could be linked to the understanding of inside-out adaptive control loop. \textbf{Optimal control} can be cast as active inference with three simplifications: the first formulates optimal control in terms of predictive coding, the second replaces optimal control with motor reflex arcs, and the third replaces value functions with prior beliefs. The first simplification provides a unifying perspective on perception and action and highlights the central role of Bayesian filtering in model inversion. Furthermore, it shows that forward models in motor control are not the generative models that are actually inverted. The second simplification finesses the problem of delays in descending signals and reinstates classical reflex arcs as an integral part of motor control. Finally, the replacement of value and cost functions with prior beliefs about movements removes the optimal control problem completely. </t>
  </si>
  <si>
    <t>pezzato2020novel</t>
  </si>
  <si>
    <t>Pezzato, Ferrari &amp; Corbato</t>
  </si>
  <si>
    <t>2020</t>
  </si>
  <si>
    <t>A novel adaptive controller for robot manipulators based on active inference</t>
  </si>
  <si>
    <t>Robotics / engineering control</t>
  </si>
  <si>
    <t>Robotics / simulation</t>
  </si>
  <si>
    <t>Computational / N-A</t>
  </si>
  <si>
    <t>Modelling / simulation</t>
  </si>
  <si>
    <t>Derives an adaptive robot-manipulator controller from active inference.</t>
  </si>
  <si>
    <t>IEEE Robotics and Automation Letters</t>
  </si>
  <si>
    <t>Core for the Surprise-evoked disruptions paper and model (same implementation of continuous AIF for the tracking module with joint angles and arm's length instead of fixed point mass)</t>
  </si>
  <si>
    <t>simulation</t>
  </si>
  <si>
    <t>friston2016active</t>
  </si>
  <si>
    <t>Friston et al.</t>
  </si>
  <si>
    <t>2016</t>
  </si>
  <si>
    <t>Active inference and learning</t>
  </si>
  <si>
    <t>Review</t>
  </si>
  <si>
    <t>Review / theory</t>
  </si>
  <si>
    <t>Develops active inference as a unified account of perception, action and learning.</t>
  </si>
  <si>
    <t>Neuroscience &amp; Biobehavioral Reviews</t>
  </si>
  <si>
    <t>friston2017active</t>
  </si>
  <si>
    <t>2017</t>
  </si>
  <si>
    <t>Active inference: a process theory</t>
  </si>
  <si>
    <t>Formalises active inference as a process theory linking free-energy minimisation to neuronal message passing.</t>
  </si>
  <si>
    <t>Neural computation</t>
  </si>
  <si>
    <t>friston2010free</t>
  </si>
  <si>
    <t>2010</t>
  </si>
  <si>
    <t>The free-energy principle: a unified brain theory?</t>
  </si>
  <si>
    <t>Proposes the free-energy principle as a unifying theory of brain function.</t>
  </si>
  <si>
    <t>Nature reviews neuroscience</t>
  </si>
  <si>
    <t>Core of AIF framework</t>
  </si>
  <si>
    <t>parr2022active</t>
  </si>
  <si>
    <t>Parr, Pezzulo &amp; Friston</t>
  </si>
  <si>
    <t>2022</t>
  </si>
  <si>
    <t>Active inference: the free energy principle in mind, brain, and behavior</t>
  </si>
  <si>
    <t>Book</t>
  </si>
  <si>
    <t>Textbook synthesis of active inference and the free-energy principle.</t>
  </si>
  <si>
    <t>MIT Press</t>
  </si>
  <si>
    <t>Core book of AIF framework and theory, mostly theoretical, really nice examples and intuition ideas to begin with (for more information check my notes from the beginning)</t>
  </si>
  <si>
    <t>parr2018discrete</t>
  </si>
  <si>
    <t>Parr &amp; Friston</t>
  </si>
  <si>
    <t>2018</t>
  </si>
  <si>
    <t>The discrete and continuous brain: from decisions to movement—and back again</t>
  </si>
  <si>
    <t>Links discrete (decision) and continuous (movement) inference within a hierarchical active-inference scheme.</t>
  </si>
  <si>
    <t>To read</t>
  </si>
  <si>
    <t>Might need to go over this one regarding the hierarchical discrete-cont model of the paper</t>
  </si>
  <si>
    <t>friston2008hierarchical</t>
  </si>
  <si>
    <t>2008</t>
  </si>
  <si>
    <t>Hierarchical models in the brain</t>
  </si>
  <si>
    <t>Frames hierarchical generative models as the substrate for perceptual inference in cortex.</t>
  </si>
  <si>
    <t>PLoS computational biology</t>
  </si>
  <si>
    <t>friston2023free</t>
  </si>
  <si>
    <t>2023</t>
  </si>
  <si>
    <t>The free energy principle made simpler but not too simple</t>
  </si>
  <si>
    <t>Provides an accessible re-derivation of the free-energy principle and its assumptions.</t>
  </si>
  <si>
    <t>Physics Reports</t>
  </si>
  <si>
    <t>free energy principle formulation, from the mathematical and physical foundations to the intuition and applications (in a way that Friston may think is intuitive and smooth to follow but questionable for most of the readers, me included indeed, he has a tendency of not entirely explaining the equations and formulas that annoys also mathematicians).</t>
  </si>
  <si>
    <t>friston2014active</t>
  </si>
  <si>
    <t>2014</t>
  </si>
  <si>
    <t>Active inference and agency</t>
  </si>
  <si>
    <t>Short conceptual piece connecting active inference to agency.</t>
  </si>
  <si>
    <t>Cognitive Neuroscience</t>
  </si>
  <si>
    <t>Important for the agency link with Haggard</t>
  </si>
  <si>
    <t>pezzulo2024active</t>
  </si>
  <si>
    <t>Pezzulo, Parr &amp; Friston</t>
  </si>
  <si>
    <t>2024</t>
  </si>
  <si>
    <t>Active inference as a theory of sentient behavior</t>
  </si>
  <si>
    <t>Frames active inference as a general theory of sentient, goal-directed behaviour.</t>
  </si>
  <si>
    <t>Biological Psychology</t>
  </si>
  <si>
    <t xml:space="preserve">Quite core on the computational part, presents a really complete review on Active Inference, that shares a lot of points with our own review, i.e. active inference provides a normative perspective that unifies and advances the predictive and enactive views of brain and behaviour (formalizes inside-out view). </t>
  </si>
  <si>
    <t>fogassi2004action</t>
  </si>
  <si>
    <t>Fogassi &amp; Gallese</t>
  </si>
  <si>
    <t>2004</t>
  </si>
  <si>
    <t>Action as a binding key to multisensory integration</t>
  </si>
  <si>
    <t>Perception-action &amp; multisensory</t>
  </si>
  <si>
    <t>Ecological / dynamical</t>
  </si>
  <si>
    <t>Proposes action as the organising principle that binds multisensory signals.</t>
  </si>
  <si>
    <t>6 Corollary discharge &amp; agency</t>
  </si>
  <si>
    <t>AC</t>
  </si>
  <si>
    <t>pezzulo2011should</t>
  </si>
  <si>
    <t>Pezzulo &amp; Dindo</t>
  </si>
  <si>
    <t>What should I do next? Using shared representations to solve interaction problems</t>
  </si>
  <si>
    <t>Action selection &amp; affordance competition</t>
  </si>
  <si>
    <t>Uses shared representations to explain how agents solve interaction / joint-action problems.</t>
  </si>
  <si>
    <t>3 Decision &amp; action</t>
  </si>
  <si>
    <t>Experimental Brain Research</t>
  </si>
  <si>
    <t>pezzulo2016navigating</t>
  </si>
  <si>
    <t>Pezzulo &amp; Cisek</t>
  </si>
  <si>
    <t>Navigating the affordance landscape: feedback control as a process model of behavior and cognition</t>
  </si>
  <si>
    <t>Affordance competition</t>
  </si>
  <si>
    <t>Casts feedback control over an affordance landscape as a process model of behaviour and cognition.</t>
  </si>
  <si>
    <t>Trends in cognitive sciences</t>
  </si>
  <si>
    <t xml:space="preserve">Review on adaptive behaviour and formalization of the action-perception loop as a hierarchical control model (really really related to everything I am reading and assessing on the literature review in fact). It also presents these hierarchical structures, with low levels (more related to the motor output of the action and proprioceptive feedback) and high levels (with more abstract goals and long term target choices). Amazing cross-over between Giovanni and Paul to be honest. </t>
  </si>
  <si>
    <t>Heins2022</t>
  </si>
  <si>
    <t>Heins et al.</t>
  </si>
  <si>
    <t>pymdp: A Python library for active inference in discrete state spaces</t>
  </si>
  <si>
    <t>Software</t>
  </si>
  <si>
    <t>Presents pymdp, a Python library for discrete-state active inference.</t>
  </si>
  <si>
    <t>Journal of Open Source Software</t>
  </si>
  <si>
    <t>https://doi.org/10.21105/joss.04098</t>
  </si>
  <si>
    <t>baioumy2022unbiased</t>
  </si>
  <si>
    <t>Baioumy et al.</t>
  </si>
  <si>
    <t>Unbiased active inference for classical control</t>
  </si>
  <si>
    <t>Gives an unbiased active-inference formulation for classical control problems.</t>
  </si>
  <si>
    <t>2022 IEEE/RSJ International Conference on Intelligent Robots and Systems (IROS)</t>
  </si>
  <si>
    <t>AIF continuous tracking model implemented with joint angles</t>
  </si>
  <si>
    <t>priorelli2023deep</t>
  </si>
  <si>
    <t>Priorelli, Pezzulo &amp; Stoianov</t>
  </si>
  <si>
    <t>Deep kinematic inference affords efficient and scalable control of bodily movements</t>
  </si>
  <si>
    <t>Computational model</t>
  </si>
  <si>
    <t>Introduces deep kinematic active inference for scalable control of bodily movement.</t>
  </si>
  <si>
    <t>Proceedings of the National Academy of Sciences</t>
  </si>
  <si>
    <t>Deep model for AIF hierarchical implementation</t>
  </si>
  <si>
    <t>bufacchi2018action</t>
  </si>
  <si>
    <t>Bufacchi &amp; Iannetti</t>
  </si>
  <si>
    <t>An action field theory of peripersonal space</t>
  </si>
  <si>
    <t>Action control</t>
  </si>
  <si>
    <t>Peripersonal space &amp; defence</t>
  </si>
  <si>
    <t>Peripersonal space / action fields</t>
  </si>
  <si>
    <t>Reframes peripersonal space as continuous action-value fields rather than a bounded zone.</t>
  </si>
  <si>
    <t>5 Saliency to action</t>
  </si>
  <si>
    <t>bufacchi2025egocentric</t>
  </si>
  <si>
    <t>Bufacchi et al.</t>
  </si>
  <si>
    <t>2025</t>
  </si>
  <si>
    <t>Egocentric value maps of the near-body environment</t>
  </si>
  <si>
    <t>Empirical (neurophysiology)</t>
  </si>
  <si>
    <t>Non-human primate</t>
  </si>
  <si>
    <t>Neurophysiology</t>
  </si>
  <si>
    <t>Maps egocentric value of the near-body environment, extending the action-field account.</t>
  </si>
  <si>
    <t>Nature Neuroscience</t>
  </si>
  <si>
    <t>Verify species / method against paper</t>
  </si>
  <si>
    <t>empirical</t>
  </si>
  <si>
    <t>yes</t>
  </si>
  <si>
    <t>lo</t>
  </si>
  <si>
    <t>this pass</t>
  </si>
  <si>
    <t>near-body stimuli in fixating NHP plus RL agents; mixed empirical/simulation, coordinates refer to the neurophysiological part only</t>
  </si>
  <si>
    <t>bufacchi2023cortico</t>
  </si>
  <si>
    <t>Cortico-spinal modularity in the parieto-frontal system: A new perspective on action control</t>
  </si>
  <si>
    <t>Motor cortex &amp; body maps</t>
  </si>
  <si>
    <t>Multiple / cross-species</t>
  </si>
  <si>
    <t>Proposes cortico-spinal modularity in parieto-frontal circuits as a framework for action control.</t>
  </si>
  <si>
    <t>7 Foundations</t>
  </si>
  <si>
    <t>Progress in neurobiology</t>
  </si>
  <si>
    <t>Review that argues that multiple parieto-frontal spinal command modules that can bypass MI. Five observations
support this modular perspective: (i) the statistics of cortical connectivity demonstrate functionally-
related clusters of cortical areas, defining functional modules in the premotor, cingulate, and parietal cortices;
(ii) different corticospinal pathways originate from the above areas, each with a distinct range of conduction
velocities; (iii) the activation time of each module varies depending on task, and different modules can be
activated simultaneously; (iv) a modular architecture with direct motor output is faster and less metabolically
expensive than an architecture that relies on MI, given the slow connections between MI and other cortical areas;
(v) lesions of the areas composing parieto-frontal modules have different effects from lesions of MI. Interesting reference also for other areas involved in movement other than M1 (for literature review). Even has more references</t>
  </si>
  <si>
    <t>bufacchi2016gravitational</t>
  </si>
  <si>
    <t>Gravitational cues modulate the shape of defensive peripersonal space</t>
  </si>
  <si>
    <t>Human behaviour / psychophysics</t>
  </si>
  <si>
    <t>EMG / behavioural</t>
  </si>
  <si>
    <t>Shows gravitational cues reshape the geometry of defensive peripersonal space.</t>
  </si>
  <si>
    <t>Current Biology</t>
  </si>
  <si>
    <t>md</t>
  </si>
  <si>
    <t>hand-blink reflex; arm held in a prescribed posture on a support, stimulus explicitly to be ignored, repeated at fixed rate</t>
  </si>
  <si>
    <t>bufacchi2016geometric</t>
  </si>
  <si>
    <t>A geometric model of defensive peripersonal space</t>
  </si>
  <si>
    <t>Behavioural + modelling</t>
  </si>
  <si>
    <t>Fits a geometric model of defensive peripersonal space to hand-blink-reflex data.</t>
  </si>
  <si>
    <t>Journal of Neurophysiology</t>
  </si>
  <si>
    <t>same HBR paradigm as bufacchi2016gravitational, geometric model fitted to it</t>
  </si>
  <si>
    <t>bufacchi2021peripersonal</t>
  </si>
  <si>
    <t>2021</t>
  </si>
  <si>
    <t>What do ‘peripersonal space measures’ really reflect? The action field perspective</t>
  </si>
  <si>
    <t>Argues peripersonal-space measures reflect action fields rather than a single space.</t>
  </si>
  <si>
    <t>The World at Our Fingertips: A Multidisciplinary Exploration of Peripersonal Space</t>
  </si>
  <si>
    <t>bufacchi2017approaching</t>
  </si>
  <si>
    <t>Bufacchi</t>
  </si>
  <si>
    <t>Approaching threatening stimuli cause an expansion of defensive peripersonal space</t>
  </si>
  <si>
    <t>Shows approaching threatening stimuli expand defensive peripersonal space.</t>
  </si>
  <si>
    <t>approaching/looming threat carries within-trial temporal structure (z=0.5)</t>
  </si>
  <si>
    <t>bufacchi2018understanding</t>
  </si>
  <si>
    <t>Understanding defensive peripersonal space through mathematical modelling</t>
  </si>
  <si>
    <t>Thesis</t>
  </si>
  <si>
    <t>Modelling + behavioural</t>
  </si>
  <si>
    <t>Doctoral thesis on mathematical modelling of defensive peripersonal space.</t>
  </si>
  <si>
    <t>UCL (University College London)</t>
  </si>
  <si>
    <t>kilintari2018high</t>
  </si>
  <si>
    <t>Kilintari et al.</t>
  </si>
  <si>
    <t>High-precision voluntary movements are largely independent of preceding vertex potentials elicited by sudden sensory events</t>
  </si>
  <si>
    <t>Vertex potential &amp; evoked potentials</t>
  </si>
  <si>
    <t>Human EEG/MEG</t>
  </si>
  <si>
    <t>EEG + behavioural</t>
  </si>
  <si>
    <t>Salience detection</t>
  </si>
  <si>
    <t>Finds high-precision voluntary movements are largely independent of vertex potentials evoked by sudden events.</t>
  </si>
  <si>
    <t>4 Saliency &amp; surprise</t>
  </si>
  <si>
    <t>The Journal of physiology</t>
  </si>
  <si>
    <t>SAL</t>
  </si>
  <si>
    <t>high-precision voluntary movement preceded by sudden task-irrelevant stimuli; the closest published neighbour of the thesis paradigm</t>
  </si>
  <si>
    <t>khurana2026fleeing</t>
  </si>
  <si>
    <t>Khurana et al.</t>
  </si>
  <si>
    <t>2026</t>
  </si>
  <si>
    <t>Fleeing is Believing: Adaptive behavior under social threat as an inference process</t>
  </si>
  <si>
    <t>Empirical + modelling</t>
  </si>
  <si>
    <t>Rodent</t>
  </si>
  <si>
    <t>Casts adaptive flight under social threat as an inference process.</t>
  </si>
  <si>
    <t>bioRxiv</t>
  </si>
  <si>
    <t>Preprint version; it is already published in frontiers</t>
  </si>
  <si>
    <t>rodent free behaviour under social threat; no experimenter-imposed task, so x reads the sustained locomotor output rather than an instruction</t>
  </si>
  <si>
    <t>de2015many</t>
  </si>
  <si>
    <t>de Vignemont &amp; Iannetti</t>
  </si>
  <si>
    <t>2015</t>
  </si>
  <si>
    <t>How many peripersonal spaces?</t>
  </si>
  <si>
    <t>Questions whether there is a single peripersonal space, distinguishing multiple functional spaces.</t>
  </si>
  <si>
    <t>Neuropsychologia</t>
  </si>
  <si>
    <t>braitenberg1986vehicles</t>
  </si>
  <si>
    <t>Braitenberg</t>
  </si>
  <si>
    <t>1986</t>
  </si>
  <si>
    <t>Vehicles: Experiments in synthetic psychology</t>
  </si>
  <si>
    <t>Foundational / historical</t>
  </si>
  <si>
    <t>Uses synthetic vehicles to show complex behaviour from simple sensorimotor couplings.</t>
  </si>
  <si>
    <t>1 Introduction</t>
  </si>
  <si>
    <t>MIT press</t>
  </si>
  <si>
    <t>james1890principles</t>
  </si>
  <si>
    <t>James</t>
  </si>
  <si>
    <t>1890</t>
  </si>
  <si>
    <t>The principles of psychology</t>
  </si>
  <si>
    <t>Historical / foundational</t>
  </si>
  <si>
    <t>General / foundational</t>
  </si>
  <si>
    <t>Foundational text of scientific psychology.</t>
  </si>
  <si>
    <t>Henry Holt</t>
  </si>
  <si>
    <t>PC</t>
  </si>
  <si>
    <t>rule R6</t>
  </si>
  <si>
    <t>book / foundational text</t>
  </si>
  <si>
    <t>graziano2008intelligent</t>
  </si>
  <si>
    <t>Graziano</t>
  </si>
  <si>
    <t>The intelligent movement machine: An ethological perspective on the primate motor system</t>
  </si>
  <si>
    <t>Presents an ethological view of motor cortex as organised around meaningful actions.</t>
  </si>
  <si>
    <t>Oxford University Press</t>
  </si>
  <si>
    <t>From Grazziano</t>
  </si>
  <si>
    <t>OFC</t>
  </si>
  <si>
    <t>murray2017evolution</t>
  </si>
  <si>
    <t>Murray, Wise &amp; Graham</t>
  </si>
  <si>
    <t>the Evolution of Memory Systems: Ancestors, anatomy, and adaptations</t>
  </si>
  <si>
    <t>Provides a comparative-evolutionary account of memory systems.</t>
  </si>
  <si>
    <t>Oxford university press</t>
  </si>
  <si>
    <t>graziano2006parieto</t>
  </si>
  <si>
    <t>Graziano &amp; Cooke</t>
  </si>
  <si>
    <t>2006</t>
  </si>
  <si>
    <t>Parieto-frontal interactions, personal space, and defensive behavior</t>
  </si>
  <si>
    <t>Review (microstimulation)</t>
  </si>
  <si>
    <t>Reviews parieto-frontal circuits underlying personal space and defensive behaviour.</t>
  </si>
  <si>
    <t>sperry1950neural</t>
  </si>
  <si>
    <t>Sperry</t>
  </si>
  <si>
    <t>1950</t>
  </si>
  <si>
    <t>Neural basis of the spontaneous optokinetic response produced by visual inversion.</t>
  </si>
  <si>
    <t>Corollary discharge / efference copy</t>
  </si>
  <si>
    <t>Behavioural</t>
  </si>
  <si>
    <t>Predictive coding / corollary discharge</t>
  </si>
  <si>
    <t>Introduces the concept of corollary discharge from visual-inversion experiments.</t>
  </si>
  <si>
    <t>Journal of comparative and physiological psychology</t>
  </si>
  <si>
    <t>surgical inversion of the eye: a sustained, purely endogenous mismatch in a free-swimming animal</t>
  </si>
  <si>
    <t>schneider2014synaptic</t>
  </si>
  <si>
    <t>Schneider, Nelson &amp; Mooney</t>
  </si>
  <si>
    <t>A synaptic and circuit basis for corollary discharge in the auditory cortex</t>
  </si>
  <si>
    <t>Rodent electrophysiology</t>
  </si>
  <si>
    <t>Electrophysiology</t>
  </si>
  <si>
    <t>Identifies a synaptic and circuit basis for motor-related corollary discharge in auditory cortex.</t>
  </si>
  <si>
    <t>Nature</t>
  </si>
  <si>
    <t>circuit dissection (optogenetics), no behavioural design</t>
  </si>
  <si>
    <t>nelson2013circuit</t>
  </si>
  <si>
    <t>Nelson et al.</t>
  </si>
  <si>
    <t>2013</t>
  </si>
  <si>
    <t>A circuit for motor cortical modulation of auditory cortical activity</t>
  </si>
  <si>
    <t>Maps a circuit by which motor cortex modulates auditory cortical activity.</t>
  </si>
  <si>
    <t>Journal of Neuroscience</t>
  </si>
  <si>
    <t>circuit dissection, no behavioural design</t>
  </si>
  <si>
    <t>nelson2016basal</t>
  </si>
  <si>
    <t>Nelson &amp; Mooney</t>
  </si>
  <si>
    <t>The basal forebrain and motor cortex provide convergent yet distinct movement-related inputs to the auditory cortex</t>
  </si>
  <si>
    <t>Shows basal forebrain and motor cortex provide distinct movement-related inputs to auditory cortex.</t>
  </si>
  <si>
    <t>Basal forebrain + motor cortex inputs to auditory cortex</t>
  </si>
  <si>
    <t>paus1996modulation</t>
  </si>
  <si>
    <t>Paus et al.</t>
  </si>
  <si>
    <t>1996</t>
  </si>
  <si>
    <t>Modulation of cerebral blood flow in the human auditory cortex during speech: Role of motor-to-sensory discharges</t>
  </si>
  <si>
    <t>Human fMRI</t>
  </si>
  <si>
    <t>PET / neuroimaging</t>
  </si>
  <si>
    <t>Shows speech modulates auditory cortical blood flow via motor-to-sensory discharges.</t>
  </si>
  <si>
    <t>European Journal of Neuroscience</t>
  </si>
  <si>
    <t>speech production, PET; speech is a chained sequence of acts (y=0.57)</t>
  </si>
  <si>
    <t>houde1998sensorimotor</t>
  </si>
  <si>
    <t>Houde &amp; Jordan</t>
  </si>
  <si>
    <t>1998</t>
  </si>
  <si>
    <t>Sensorimotor adaptation in speech production</t>
  </si>
  <si>
    <t>Demonstrates sensorimotor adaptation in speech production under altered feedback.</t>
  </si>
  <si>
    <t>Science</t>
  </si>
  <si>
    <t>altered auditory feedback of one's own speech: sustained shift, endogenous</t>
  </si>
  <si>
    <t>eliades2008neural</t>
  </si>
  <si>
    <t>Eliades &amp; Wang</t>
  </si>
  <si>
    <t>Neural substrates of vocalization feedback monitoring in primate auditory cortex</t>
  </si>
  <si>
    <t>NHP electrophysiology</t>
  </si>
  <si>
    <t>Shows auditory cortex suppresses responses to self-generated vocalisation.</t>
  </si>
  <si>
    <t>self-initiated marmoset vocalisation, no imposed task and no external event</t>
  </si>
  <si>
    <t>penfield1950cerebral</t>
  </si>
  <si>
    <t>Penfield &amp; Rasmussen</t>
  </si>
  <si>
    <t>The cerebral cortex of man; a clinical study of localization of function.</t>
  </si>
  <si>
    <t>Cortical stimulation</t>
  </si>
  <si>
    <t>Classic localisation of cortical function and the homunculus.</t>
  </si>
  <si>
    <t>Macmillan</t>
  </si>
  <si>
    <t>cortical stimulation mapping (R6)</t>
  </si>
  <si>
    <t>schott1993penfield</t>
  </si>
  <si>
    <t>Schott</t>
  </si>
  <si>
    <t>1993</t>
  </si>
  <si>
    <t>Penfield's homunculus: a note on cerebral cartography</t>
  </si>
  <si>
    <t>Review (historical)</t>
  </si>
  <si>
    <t>Historical note on the homunculus as a cartographic device.</t>
  </si>
  <si>
    <t>Journal of neurology, neurosurgery, and psychiatry</t>
  </si>
  <si>
    <t>snyder2013neurologic</t>
  </si>
  <si>
    <t>Snyder &amp; Whitaker</t>
  </si>
  <si>
    <t>Neurologic heuristics and artistic whimsy: the cerebral cartography of Wilder Penfield</t>
  </si>
  <si>
    <t>Historical analysis of Penfield s cortical maps.</t>
  </si>
  <si>
    <t>Journal of the History of the Neurosciences</t>
  </si>
  <si>
    <t>schieber2020modern</t>
  </si>
  <si>
    <t>Schieber</t>
  </si>
  <si>
    <t>Modern coordinates for the motor homunculus</t>
  </si>
  <si>
    <t>Updates the motor homunculus with evidence against strict somatotopy.</t>
  </si>
  <si>
    <t>horvath2012action</t>
  </si>
  <si>
    <t>Horváth et al.</t>
  </si>
  <si>
    <t>2012</t>
  </si>
  <si>
    <t>Action--sound coincidences suppress evoked responses of the human auditory cortex in EEG and MEG</t>
  </si>
  <si>
    <t>EEG / MEG</t>
  </si>
  <si>
    <t>Shows self-generated sounds suppress auditory evoked responses in EEG and MEG.</t>
  </si>
  <si>
    <t>Journal of cognitive neuroscience</t>
  </si>
  <si>
    <t>self-generated tone after a button press; r=0.5, the event is caused by the action</t>
  </si>
  <si>
    <t>zatorre2007brain</t>
  </si>
  <si>
    <t>Zatorre, Chen &amp; Penhune</t>
  </si>
  <si>
    <t>2007</t>
  </si>
  <si>
    <t>When the brain plays music: auditory--motor interactions in music perception and production</t>
  </si>
  <si>
    <t>Reviews auditory-motor interactions in music perception and production.</t>
  </si>
  <si>
    <t>SDT</t>
  </si>
  <si>
    <t>haggard2002voluntary</t>
  </si>
  <si>
    <t>Haggard, Clark &amp; Kalogeras</t>
  </si>
  <si>
    <t>2002</t>
  </si>
  <si>
    <t>Voluntary action and conscious awareness</t>
  </si>
  <si>
    <t>Sense of agency &amp; sensory attenuation</t>
  </si>
  <si>
    <t>Agency / volition</t>
  </si>
  <si>
    <t>Reports intentional binding between voluntary action and its sensory effect.</t>
  </si>
  <si>
    <t>Nature neuroscience</t>
  </si>
  <si>
    <t>Humans have the conscious experience of ‘free will’: we feel we can generate our actions, and thus
affect our environment. They discussed the perceived time of intentional actions and of their sensory
consequences as a means to study consciousness of action. In their experiment, subjects perceived voluntary movements as occurring later
and their sensory consequences as occurring earlier than they actually did.</t>
  </si>
  <si>
    <t>intentional binding; the Libet-clock read-out is the x1=0.5 rung verbatim</t>
  </si>
  <si>
    <t>haggard2017sense</t>
  </si>
  <si>
    <t>Haggard</t>
  </si>
  <si>
    <t>Sense of agency in the human brain</t>
  </si>
  <si>
    <t>Reviews the neuro-cognitive basis of the sense of agency.</t>
  </si>
  <si>
    <t>Nature Reviews Neuroscience</t>
  </si>
  <si>
    <t>haggard1999relation</t>
  </si>
  <si>
    <t>Haggard &amp; Eimer</t>
  </si>
  <si>
    <t>1999</t>
  </si>
  <si>
    <t>On the relation between brain potentials and the awareness of voluntary movements</t>
  </si>
  <si>
    <t>EEG (readiness potential)</t>
  </si>
  <si>
    <t>Relates readiness potentials to the awareness of voluntary movement.</t>
  </si>
  <si>
    <t>Experimental brain research</t>
  </si>
  <si>
    <t>readiness potential and awareness, self-paced movement, no external event</t>
  </si>
  <si>
    <t>brass2008whether</t>
  </si>
  <si>
    <t>Brass &amp; Haggard</t>
  </si>
  <si>
    <t>The what, when, whether model of intentional action</t>
  </si>
  <si>
    <t>Proposes the what-when-whether model of intentional action.</t>
  </si>
  <si>
    <t>The Neuroscientist</t>
  </si>
  <si>
    <t>graziano2002cortical</t>
  </si>
  <si>
    <t>Graziano et al.</t>
  </si>
  <si>
    <t>The cortical control of movement revisited</t>
  </si>
  <si>
    <t>Microstimulation</t>
  </si>
  <si>
    <t>Shows long-train microstimulation evokes complex, meaningful movements from motor cortex.</t>
  </si>
  <si>
    <t>long-train microstimulation mapping (R6)</t>
  </si>
  <si>
    <t>cooke2003complex</t>
  </si>
  <si>
    <t>Cooke et al.</t>
  </si>
  <si>
    <t>Complex movements evoked by microstimulation of the ventral intraparietal area</t>
  </si>
  <si>
    <t>Shows VIP microstimulation evokes complex defensive-like movements.</t>
  </si>
  <si>
    <t>microstimulation mapping (R6)</t>
  </si>
  <si>
    <t>cooke2004sensorimotor</t>
  </si>
  <si>
    <t>Cooke &amp; Graziano</t>
  </si>
  <si>
    <t>Sensorimotor integration in the precentral gyrus: polysensory neurons and defensive movements</t>
  </si>
  <si>
    <t>Single-unit + microstimulation</t>
  </si>
  <si>
    <t>Shows polysensory precentral neurons encode defensive sensorimotor responses.</t>
  </si>
  <si>
    <t>Journal of neurophysiology</t>
  </si>
  <si>
    <t>microstimulation mapping dominates the design (R6)</t>
  </si>
  <si>
    <t>graziano2005arm</t>
  </si>
  <si>
    <t>Graziano, Aflalo &amp; Cooke</t>
  </si>
  <si>
    <t>2005</t>
  </si>
  <si>
    <t>Arm movements evoked by electrical stimulation in the motor cortex of monkeys</t>
  </si>
  <si>
    <t>Shows electrical stimulation evokes coordinated arm movements toward spatial postures.</t>
  </si>
  <si>
    <t>gibson2014theory</t>
  </si>
  <si>
    <t>Gibson</t>
  </si>
  <si>
    <t>The theory of affordances:(1979)</t>
  </si>
  <si>
    <t>Affordances &amp; ecological psychology</t>
  </si>
  <si>
    <t>Defines affordances as the action possibilities an environment offers.</t>
  </si>
  <si>
    <t>The people, place, and space reader</t>
  </si>
  <si>
    <t>First definition of affordances, previous to Paul (important to cite previous Paul, important to check the actual contribution to this Paul made with the AHC, ah applied to decision making as a competition)</t>
  </si>
  <si>
    <t>gibson1979attention</t>
  </si>
  <si>
    <t>Gibson &amp; Rader</t>
  </si>
  <si>
    <t>1979</t>
  </si>
  <si>
    <t>Attention: The perceiver as performer</t>
  </si>
  <si>
    <t>Casts attention as active performance by the perceiver.</t>
  </si>
  <si>
    <t>Attention and cognitive development</t>
  </si>
  <si>
    <t>kelso1995dynamic</t>
  </si>
  <si>
    <t>Kelso</t>
  </si>
  <si>
    <t>1995</t>
  </si>
  <si>
    <t>Dynamic patterns: The self-organization of brain and behavior</t>
  </si>
  <si>
    <t>Gives a dynamical-systems account of self-organisation in brain and behaviour.</t>
  </si>
  <si>
    <t>evans2020discovery</t>
  </si>
  <si>
    <t>Evans et al.</t>
  </si>
  <si>
    <t>Discovery of the oldest bilaterian from the Ediacaran of South Australia</t>
  </si>
  <si>
    <t>Empirical (paleontology)</t>
  </si>
  <si>
    <t>N/A</t>
  </si>
  <si>
    <t>Empirical</t>
  </si>
  <si>
    <t>Reports the oldest known bilaterian, bearing on the evolution of directed movement.</t>
  </si>
  <si>
    <t>Think trhoguh whether this is even relevant in this context (came from arguments of allosenctric and egocentric action fields, evolutionary perspective)</t>
  </si>
  <si>
    <t>palaeontology, not a paradigm</t>
  </si>
  <si>
    <t>cisek1999beyond</t>
  </si>
  <si>
    <t>Cisek</t>
  </si>
  <si>
    <t>Beyond the computer metaphor: Behaviour as interaction</t>
  </si>
  <si>
    <t>Decision making</t>
  </si>
  <si>
    <t>Foundational / inside-out</t>
  </si>
  <si>
    <t>Critiques the computer metaphor and frames behaviour as continuous interaction.</t>
  </si>
  <si>
    <t>Journal of Consciousness Studies</t>
  </si>
  <si>
    <t xml:space="preserve">closed-loop of natural behaviour as controlled behaviour: the control metaphor is stated as an alternative to the computer metaphor (input-output). It brings a more naturalistic framework, allowing us to define anc consider meaning, to identify desired input (and therefore, how action shapes perception, in a meaningful manner in search of survival and preferred input). </t>
  </si>
  <si>
    <t>cisek2010neural</t>
  </si>
  <si>
    <t>Cisek &amp; Kalaska</t>
  </si>
  <si>
    <t>Neural mechanisms for interacting with a world full of action choices</t>
  </si>
  <si>
    <t>Reviews neural mechanisms for choosing among competing actions in natural behaviour.</t>
  </si>
  <si>
    <t>Annual review of neuroscience</t>
  </si>
  <si>
    <t>amazing review, finish reading. Broad review of parallel decision-making across parietal + premotor</t>
  </si>
  <si>
    <t>cisek2005neural</t>
  </si>
  <si>
    <t>Neural correlates of reaching decisions in dorsal premotor cortex: specification of multiple direction choices and final selection of action</t>
  </si>
  <si>
    <t>Single-unit</t>
  </si>
  <si>
    <t>Shows dorsal premotor cortex represents multiple reach options before final selection.</t>
  </si>
  <si>
    <t>Reaching decisions specifically in dorsal premotor cortex</t>
  </si>
  <si>
    <t>NHP instructed-delay reach; the colour cue is the imperative, excluded by R1</t>
  </si>
  <si>
    <t>cisek2007cortical</t>
  </si>
  <si>
    <t>Cortical mechanisms of action selection: the affordance competition hypothesis</t>
  </si>
  <si>
    <t>States the affordance-competition hypothesis: specification and selection proceed in parallel.</t>
  </si>
  <si>
    <t>Philosophical Transactions of the Royal Society B: Biological Sciences</t>
  </si>
  <si>
    <t>AHC: really relevant for affordances. Again serial input-output, not supported anatomically (neural representations are not serial and completelly separated throughout the perception, planning, decision, acting process) nor physiologically (behaviour unfolds in a continuous loop of changing environment, + evolutionary also questions this)</t>
  </si>
  <si>
    <t>cisek2009decisions</t>
  </si>
  <si>
    <t>Cisek, Puskas &amp; El-Murr</t>
  </si>
  <si>
    <t>2009</t>
  </si>
  <si>
    <t>Decisions in changing conditions: the urgency-gating model</t>
  </si>
  <si>
    <t>Proposes the urgency-gating model of decisions under changing evidence.</t>
  </si>
  <si>
    <t>check if it applies beyond state of the art</t>
  </si>
  <si>
    <t>tokens task; the evidence stream is the task, excluded by R1</t>
  </si>
  <si>
    <t>cisek2012making</t>
  </si>
  <si>
    <t>Making decisions through a distributed consensus</t>
  </si>
  <si>
    <t>Argues decisions emerge from distributed consensus across the sensorimotor system.</t>
  </si>
  <si>
    <t>Current opinion in neurobiology</t>
  </si>
  <si>
    <t>distributed consensus</t>
  </si>
  <si>
    <t>gyorgy2019brain</t>
  </si>
  <si>
    <t>György Buzsáki</t>
  </si>
  <si>
    <t>2019</t>
  </si>
  <si>
    <t>The brain from inside out</t>
  </si>
  <si>
    <t>Argues for an inside-out, action-first view of brain function.</t>
  </si>
  <si>
    <t>chandrasekaran2025no</t>
  </si>
  <si>
    <t>Chandrasekaran et al.</t>
  </si>
  <si>
    <t>No central executive? decision formation through multi-area population dynamics</t>
  </si>
  <si>
    <t>Neural population dynamics</t>
  </si>
  <si>
    <t>Neural dynamics</t>
  </si>
  <si>
    <t>Argues decisions form through multi-area population dynamics without a central executive.</t>
  </si>
  <si>
    <t>could not download</t>
  </si>
  <si>
    <t>baddeley2017exploring</t>
  </si>
  <si>
    <t>Baddeley</t>
  </si>
  <si>
    <t>Exploring working memory: Selected works of Alan Baddeley</t>
  </si>
  <si>
    <t>Working memory &amp; executive control</t>
  </si>
  <si>
    <t>Collected works on working memory and the central executive.</t>
  </si>
  <si>
    <t>Routledge</t>
  </si>
  <si>
    <t>baddeley2003working</t>
  </si>
  <si>
    <t>Working memory and language: An overview</t>
  </si>
  <si>
    <t>Overview of working memory and its relation to language.</t>
  </si>
  <si>
    <t>Journal of communication disorders</t>
  </si>
  <si>
    <t>baddeley2020working</t>
  </si>
  <si>
    <t>Working memory</t>
  </si>
  <si>
    <t>Updated overview of the multicomponent working-memory model.</t>
  </si>
  <si>
    <t>Memory</t>
  </si>
  <si>
    <t>possibly interesting to read: memory</t>
  </si>
  <si>
    <t>de2022continuous</t>
  </si>
  <si>
    <t>De Comite, Crevecoeur &amp; Lefèvre</t>
  </si>
  <si>
    <t>Continuous tracking of task parameters tunes reaching control online</t>
  </si>
  <si>
    <t>Decisions during movement</t>
  </si>
  <si>
    <t>Behavioural (reaching)</t>
  </si>
  <si>
    <t>Optimal feedback control</t>
  </si>
  <si>
    <t>Shows online tracking of task parameters continuously tunes reaching control.</t>
  </si>
  <si>
    <t>eneuro</t>
  </si>
  <si>
    <t>task parameters change mid-reach and must be tracked online: parameter cue (t=0.67), step change whose distribution is learned over trials (z=0.67)</t>
  </si>
  <si>
    <t>de2022reward</t>
  </si>
  <si>
    <t>Reward-dependent selection of feedback gains impacts rapid motor decisions</t>
  </si>
  <si>
    <t>Shows reward modulates feedback-gain selection in rapid motor decisions.</t>
  </si>
  <si>
    <t>mechanical perturbation of the reach at fixed probability; pure performance error</t>
  </si>
  <si>
    <t>nashed2014rapid</t>
  </si>
  <si>
    <t>Nashed, Crevecoeur &amp; Scott</t>
  </si>
  <si>
    <t>Rapid online selection between multiple motor plans</t>
  </si>
  <si>
    <t>Shows humans rapidly select between multiple motor plans online.</t>
  </si>
  <si>
    <t>mechanical perturbation plus online reselection between plans</t>
  </si>
  <si>
    <t>cos2021changes</t>
  </si>
  <si>
    <t>Cos, Pezzulo &amp; Cisek</t>
  </si>
  <si>
    <t>Changes of mind after movement onset depend on the state of the motor system</t>
  </si>
  <si>
    <t xml:space="preserve">Decision making motor reaching task with reward nonuniformly distributed within the target, in which mechanical perturbations were exerted triggering changes of mind in the participants after movement onset; changes of mind measured against the state of the motor system seemed to be more dependent of state than of reward. Broadly, reward-driven reach decision task in which movements were sometimes perturbed by a perpendicular mechanical perturbations. Task difficulty continuous control, stationary since the reward is dependent on the spatial distribution across the whole target surface, instead of being stationary. Task timescale from reaching, since they got feedback from the screen across the trial. </t>
  </si>
  <si>
    <t>participants initially selected the direction of movement toward the highest reward region and changed their mind most frequently when the two choices offered the same reward, showing that deliberation continues and follows cost–benefit considerations during movement. Furthermore, changes of mind were dependent on the intensity of the perturbation and the current state of the motor system. Moreover, commitment is stronger if initially leading to a high reward, and changes of mind are more frequent at slow speed and when close to the alternate target. Initially predicted that changes of mind should occur more often with strong and early perturbations, when actions are slower, and when the arm position is further away from the initially selected target, and therefore being dependent of the state of the movement and not reward or other variables.</t>
  </si>
  <si>
    <t>Shows changes of mind after movement onset depend on the state of the motor system.</t>
  </si>
  <si>
    <t>Eneuro</t>
  </si>
  <si>
    <t>Scored</t>
  </si>
  <si>
    <t xml:space="preserve">Statistical analysis over the behavioural data: 1) estimated the parameters of a binomial distribution of the probability of having a change of mind, 2) generalized linear model (GLM) to assess the influence of the reward, by analysing the b-regression coefficients fromt he t-tests. </t>
  </si>
  <si>
    <t>Decision-making is traditionally described as a cognitive process of deliberation followed by commitment to
an action choice, preceding the planning and execution of the chosen action. However, this is challenged by
recent data suggesting that during situated decisions, multiple options are specified simultaneously and com-
pete in premotor cortical areas for selection and execution. Previous studies focused on the competition dur-
ing planning and left unaddressed the dynamics of decisions during movement. Does deliberation extend into
the execution phase? Are nonselected options still considered? Here we studied a decision-making task in
which human participants were instructed to select a reaching path trajectory from an origin to a rectangular
target, where reward was distributed nonuniformly at the target. Critically, we applied mechanical perturba-
tions to the arm during movement to study under which conditions such perturbations produce changes of
mind. Our results show that participants initially selected the direction of movement toward the highest reward
region and changed their mind most frequently when the two choices offered the same reward, showing that
deliberation continues and follows cost–benefit considerations during movement. Furthermore, changes of
mind were dependent on the intensity of the perturbation and the current state of the motor system, including
velocity and distance to targets. Although reward remains most relevant, our results indicate that the state of
the motor system when the perturbation occurs is a crucial determinant of changes of mind.</t>
  </si>
  <si>
    <t xml:space="preserve">Non-motor difficulty requires rule-based judgement to conduct the motor reaching task (determining where the major reward is allocated in the target). judgement revisable within trial, since there is a decision that is being revised during the trial. </t>
  </si>
  <si>
    <t xml:space="preserve">Added surprise axis since we have different sources per trial: 1) the mechanical perturbation, 2) the distribution of the reward, stated at the beginning of each trial. The overall surprise is determined as an average of these values in the central axis.  For the 1) mechanical perturbation: 3 different stages of the trial (early/late, weak/strong, and right/left, and also with 2 different levels of intensity, around 3 or 6N), hence perturbation hierarchy between transient repeat and short-within trials, since it is elicited in different moments of the trial, and with different intensities. Then magnitude given by clear and p ~ 0.1-0.2, or a mechanical perturbation within the normal operating range of the limb, and task-relevant given as task-relevant modality. For the 2) distribution of the reward: hierarchy short within-trial structure, since for each trial it gives a different goal directed distribution to the movement, relevance as parameter cue, very intense magnitude since it affects directly the movement. </t>
  </si>
  <si>
    <t>hi</t>
  </si>
  <si>
    <t>nan</t>
  </si>
  <si>
    <t>michalski2020reaching</t>
  </si>
  <si>
    <t>Michalski, Green &amp; Cisek</t>
  </si>
  <si>
    <t>Reaching decisions during ongoing movements</t>
  </si>
  <si>
    <t>Shows reaching decisions can be made and revised during ongoing movement.</t>
  </si>
  <si>
    <t>Central article of what would have been my project with Paul and Andrea. This paper has also a tracking experiment, in this case, deciding while acting (while tracking) but within task.relevant sensory modality stimuli. !! They had a new target appearing while tracking one: and showed that the probability of choosing to
switch increased with decreasing distance to the new target and
increasing size of the new target relative to the tracked target, as well
as when the direction to the new target was aligned</t>
  </si>
  <si>
    <t>new target appears mid-movement; task-relevant by construction. Roger's note flags a tracking variant of this design</t>
  </si>
  <si>
    <t>GALLEGO2017978</t>
  </si>
  <si>
    <t>Gallego et al.</t>
  </si>
  <si>
    <t>Neural Manifolds for the Control of Movement</t>
  </si>
  <si>
    <t>Proposes low-dimensional neural manifolds and modes as generators of motor behaviour.</t>
  </si>
  <si>
    <t>https://doi.org/https://doi.org/10.1016/j.neuron.2017.05.025</t>
  </si>
  <si>
    <t>canaveral2024biomechanical</t>
  </si>
  <si>
    <t>Canaveral et al.</t>
  </si>
  <si>
    <t>Biomechanical costs influence decisions made during ongoing actions</t>
  </si>
  <si>
    <t>Biomechanical / effort costs</t>
  </si>
  <si>
    <t>Shows biomechanical costs influence decisions made during ongoing actions.</t>
  </si>
  <si>
    <t>decision during ongoing action with biomechanical cost manipulation</t>
  </si>
  <si>
    <t>ahmadipour2024multimodal</t>
  </si>
  <si>
    <t>Ahmadipour et al.</t>
  </si>
  <si>
    <t>Multimodal subspace identification for modeling discrete-continuous spiking and field potential population activity</t>
  </si>
  <si>
    <t>Modelling (system identification)</t>
  </si>
  <si>
    <t>Develops multimodal subspace identification for joint spiking and field-potential activity.</t>
  </si>
  <si>
    <t>Journal of Neural Engineering</t>
  </si>
  <si>
    <t>Canada linear model for the multimodal integration of neural activity (spiking and LFPs)</t>
  </si>
  <si>
    <t>nakahashi2024fronto</t>
  </si>
  <si>
    <t>Nakahashi</t>
  </si>
  <si>
    <t>Fronto-parietal neural activity during multi-attribute decision-making</t>
  </si>
  <si>
    <t>Value &amp; reward-based decision</t>
  </si>
  <si>
    <t>Doctoral work on fronto-parietal activity during multi-attribute decisions.</t>
  </si>
  <si>
    <t>Canada, Ayuno's human experiment for the decision making task with independent variables</t>
  </si>
  <si>
    <t>nakahashi2023parallel</t>
  </si>
  <si>
    <t>Nakahashi &amp; Cisek</t>
  </si>
  <si>
    <t>Parallel processing of value-related information during multi-attribute decisions</t>
  </si>
  <si>
    <t>Shows value-related information for multiple attributes is processed in parallel.</t>
  </si>
  <si>
    <t>NHP multi-attribute value decision expressed as a reach</t>
  </si>
  <si>
    <t>pezzulo2009thinking</t>
  </si>
  <si>
    <t>Pezzulo &amp; Castelfranchi</t>
  </si>
  <si>
    <t>Thinking as the control of imagination: a conceptual framework for goal-directed systems</t>
  </si>
  <si>
    <t>Frames thinking as the control of imagination in goal-directed systems.</t>
  </si>
  <si>
    <t>Psychological Research PRPF</t>
  </si>
  <si>
    <t xml:space="preserve"> </t>
  </si>
  <si>
    <t>rigoux2011compromis</t>
  </si>
  <si>
    <t>Rigoux</t>
  </si>
  <si>
    <t>Compromis entre efforts et récompenses: un modèle unifié de la décision et de la motricité</t>
  </si>
  <si>
    <t>Modelling</t>
  </si>
  <si>
    <t>Doctoral thesis: a unified model of effort-reward trade-offs in decision and motor control.</t>
  </si>
  <si>
    <t>Paris 6</t>
  </si>
  <si>
    <t>Decision-making, cost, TFM relevant</t>
  </si>
  <si>
    <t>rigoux2012model</t>
  </si>
  <si>
    <t>Rigoux &amp; Guigon</t>
  </si>
  <si>
    <t>A model of reward-and effort-based optimal decision making and motor control</t>
  </si>
  <si>
    <t>Models reward- and effort-based optimal decision making and motor control.</t>
  </si>
  <si>
    <t>Public Library of Science San Francisco, USA</t>
  </si>
  <si>
    <t>cos2011influence</t>
  </si>
  <si>
    <t>Cos, Bélanger &amp; Cisek</t>
  </si>
  <si>
    <t>The influence of predicted arm biomechanics on decision making</t>
  </si>
  <si>
    <t>Shows predicted arm biomechanics bias choices between reaching actions.</t>
  </si>
  <si>
    <t>free choice between two reaches, no external event</t>
  </si>
  <si>
    <t>cos2021influence</t>
  </si>
  <si>
    <t>Cos, Deco &amp; Gilson</t>
  </si>
  <si>
    <t>The Influence of Intrinsic Motivation on Decisions Between Actions</t>
  </si>
  <si>
    <t>Models how intrinsic motivation shapes decisions between actions.</t>
  </si>
  <si>
    <t>kalman1960new</t>
  </si>
  <si>
    <t>Kalman</t>
  </si>
  <si>
    <t>A new approach to linear filtering and prediction problems</t>
  </si>
  <si>
    <t>Mathematical</t>
  </si>
  <si>
    <t>Introduces the Kalman filter for linear estimation and prediction.</t>
  </si>
  <si>
    <t>mathematics</t>
  </si>
  <si>
    <t>cos2012modulatory</t>
  </si>
  <si>
    <t>Cos, Medleg &amp; Cisek</t>
  </si>
  <si>
    <t>The modulatory influence of end-point controllability on decisions between actions</t>
  </si>
  <si>
    <t>Shows end-point controllability modulates decisions between actions.</t>
  </si>
  <si>
    <t>as cos2011 with end-point controllability manipulated</t>
  </si>
  <si>
    <t>trommershauser2008decision</t>
  </si>
  <si>
    <t>Trommershäuser, Maloney &amp; Landy</t>
  </si>
  <si>
    <t>Decision making, movement planning and statistical decision theory</t>
  </si>
  <si>
    <t>Statistical decision theory</t>
  </si>
  <si>
    <t>Links decision making and movement planning through statistical decision theory.</t>
  </si>
  <si>
    <t>keramati2011speed</t>
  </si>
  <si>
    <t>Keramati, Dezfouli &amp; Piray</t>
  </si>
  <si>
    <t>Speed/accuracy trade-off between the habitual and the goal-directed processes</t>
  </si>
  <si>
    <t>Models the speed/accuracy trade-off between habitual and goal-directed control.</t>
  </si>
  <si>
    <t>landy2012dynamic</t>
  </si>
  <si>
    <t>Landy, Trommershäuser &amp; Daw</t>
  </si>
  <si>
    <t>Dynamic estimation of task-relevant variance in movement under risk</t>
  </si>
  <si>
    <t>Shows dynamic estimation of task-relevant variance in movement under risk.</t>
  </si>
  <si>
    <t>task-relevant variance drifts across the block: the z=0.83 rung (slow stationary drift) is reached by design, which is rare in this corpus</t>
  </si>
  <si>
    <t>wolpert2012motor</t>
  </si>
  <si>
    <t>Wolpert &amp; Landy</t>
  </si>
  <si>
    <t>Motor control is decision-making</t>
  </si>
  <si>
    <t>Argues that motor control is itself a form of decision making.</t>
  </si>
  <si>
    <t>brockwell2002introduction</t>
  </si>
  <si>
    <t>Brockwell &amp; Davis</t>
  </si>
  <si>
    <t>Introduction to time series and forecasting</t>
  </si>
  <si>
    <t>Textbook on time-series analysis and forecasting.</t>
  </si>
  <si>
    <t>Springer</t>
  </si>
  <si>
    <t>davis1939electrical</t>
  </si>
  <si>
    <t>Davis H, Davis PA, Loomis AL, Harvey EN, Hobart G</t>
  </si>
  <si>
    <t>Electrical reactions of the human brain to auditory stimulation during sleep</t>
  </si>
  <si>
    <t xml:space="preserve">Saliency </t>
  </si>
  <si>
    <t xml:space="preserve">Asleep task!! No engagement, no motor output (good paradigm to plot in our space). Skim better for the explicit stimulation, although it seems like a single pulse, noise-level simple task. However, they refer to auditory, visual and electric stimuli (even they mention some experiments with combined stimuli, this properties of the stimuli might be similar to the onse from Isometric force experiment 1). Even more, they combine tone and electric stimuli, by their results it seems like they did both at once, getting an additiv resutls in the K-complex. However, they refer to previous equivalent tasks in awake (eyes closed) subjects, might also be interesting to consider those in this study. At least they have: Exp1: single pulse auditory for asleep subject, Exp2: single pulse visual for asleep, Exp3: somatosensory single pulse. Exp4: combined electric + sound single pulse. (perhaps add also all the ones with the awake?). Exp5: asleep child that was instructed to press a botton when he heard a tone by squeezing a rubber bulb placed in his hand. This task was conducted in different stages of sleep of the subject and therefore showing the dependancy of the k-complex to the stage of sleep. Also the number of subjects of these old papers seems to be around 1 per experiment. </t>
  </si>
  <si>
    <t>EEG</t>
  </si>
  <si>
    <t>They study the human k-complex, which is the pattern of disturbance evoked in the asleep brain by sensory stimulation (in this case auditory stimulation). It also feels like it is one of the first studies to argue that the vertex potential is an evoked transient signal that travels through a different pathway (extralemniscal vs lemniscal). The response which usually follows auditory stimulation during sleep
is much larger and much less variable than the waking on-effect. The asleep one is the k-complex? Kinda feels like partially equivalent, because the k-complex depends also on the state of the brain and the stage of the sleep, and can also be evoked by internal processes or even self-generated events, like snores. They refer to the equivalent response in the awake brain (our VP) as waking on-effect.</t>
  </si>
  <si>
    <t xml:space="preserve">VP during sleep evoked from auditory stimuli </t>
  </si>
  <si>
    <t>J Neurophysiol</t>
  </si>
  <si>
    <t>Scoring</t>
  </si>
  <si>
    <t>Shared from Tizi! Sofi cited this paper with Bancaud and gastaut when introducing the VP initially (I'm trying to understand why and whether I agree). They do identify the bi-phasic (negative-positve) evoked wave to external auditory events. They present the results within the Figure that Sofi also used in her presentation as the first identification of the Vertex Potential: hence I agree. Although this is Figure 1, which says Awake, and hence might be from a previous study?? With auditory, visual and somatosensory stimulation. It also feels like it is one of the first studies to argue that the vertex potential is an evoked transient signal that travels through a different pathway (extralemniscal vs lemniscal).Explicitly: "The diphasic on-effect and the modification of the alpha rhythm are obviously both of them generalized secondary reactions of the cortex which may be observed under favorable conditions. They should not be interpreted as equivalent to the immediate and localized responses in a particular sensory area which are seen in experiments on the exposed cortex of animals.</t>
  </si>
  <si>
    <t>THE SPONTANEOUS electrical activity of the human brain has been described
both for the waking state and for sleep by many investigators (see Jasper,
1937, Davis, H., 1939, for references). The modificaeions of electrical activ-
ity as a result, of peripheral sensory stimulation in the waking state are slight
and have received much less attention, A conspicuous effect in many sub-
jects is the “check,” or inhibition, of the lo-cycle “alpha” rhythm which
occurs when the eyes are opened. Definite “on-effects,” particularly in re-
sponse to sounds, have been mentioned casually by several investigators and
described systematically by one of us (Davis, P. A., 1939, q.u. for references).
In sleep one reaction to sensory stimulation is a return of the waking
pattern; but three of us have described (Loomis, Harvey, and Hobart, 1938)
a more specific disturbance pattern which we designated as the ‘X-corn-
plex.” The K-complex and the waking on-effects are of considerable theoreti-
cal importance because of the possibility of identifying them with similar
responses of the brains of animals, and thereby coijrdinating the separate
fields of human and of animal investigation. We therefore undertook fur-
ther investigation of the human K-complex in an endeavor to analyze it
into its components, and to compare the components with other electrical
phenomena in the brains of both man and animals.</t>
  </si>
  <si>
    <t>Basis or original VP studies</t>
  </si>
  <si>
    <t xml:space="preserve">Asleep task on humans. </t>
  </si>
  <si>
    <t>superseded by the per-paradigm rows davis1939electrical_e1 ... e13 (rule R2 / unit of analysis). Original hand scores left untouched; e4 is the configuration they describe.</t>
  </si>
  <si>
    <t>marimon2024unifying</t>
  </si>
  <si>
    <t>Marimón</t>
  </si>
  <si>
    <t>Unifying framework for decision-making dynamics: optimal control and infinite horizon perspectives</t>
  </si>
  <si>
    <t>Sketches a unifying framework for decision dynamics via optimal control and infinite-horizon ideas.</t>
  </si>
  <si>
    <t>Reports@ SCM</t>
  </si>
  <si>
    <t>My thesis (only published a shitty abstract )</t>
  </si>
  <si>
    <t>kalidindi2023human</t>
  </si>
  <si>
    <t>Kalidindi &amp; Crevecoeur</t>
  </si>
  <si>
    <t>Human reaching control in dynamic environments</t>
  </si>
  <si>
    <t>OFC (optimal feedback control)</t>
  </si>
  <si>
    <t>Reviews how humans control reaching in dynamic, uncertain environments.</t>
  </si>
  <si>
    <t>Current Opinion in Neurobiology</t>
  </si>
  <si>
    <t>crevecoeur2019robust</t>
  </si>
  <si>
    <t>Crevecoeur, Scott &amp; Cluff</t>
  </si>
  <si>
    <t>Robust control in human reaching movements: a model-free strategy to compensate for unpredictable disturbances</t>
  </si>
  <si>
    <t>Proposes a model-free robust-control strategy compensating for unpredictable disturbances.</t>
  </si>
  <si>
    <t>unpredictable disturbances during reaching, robust-control account</t>
  </si>
  <si>
    <t>todorov2004optimality</t>
  </si>
  <si>
    <t>Todorov</t>
  </si>
  <si>
    <t>Optimality principles in sensorimotor control</t>
  </si>
  <si>
    <t>Reviews optimality principles in sensorimotor control.</t>
  </si>
  <si>
    <t>todorov2002optimal</t>
  </si>
  <si>
    <t>Todorov &amp; Jordan</t>
  </si>
  <si>
    <t>Optimal feedback control as a theory of motor coordination</t>
  </si>
  <si>
    <t>Proposes optimal feedback control as a theory of motor coordination (minimal-intervention principle).</t>
  </si>
  <si>
    <t>scott2004optimal</t>
  </si>
  <si>
    <t>Scott</t>
  </si>
  <si>
    <t>Optimal feedback control and the neural basis of volitional motor control</t>
  </si>
  <si>
    <t>Frames volitional motor control in terms of optimal feedback control and its neural basis.</t>
  </si>
  <si>
    <t>scott2002optimal</t>
  </si>
  <si>
    <t>Optimal strategies for movement: success with variability</t>
  </si>
  <si>
    <t>Argues movement variability reflects control of only task-relevant dimensions.</t>
  </si>
  <si>
    <t>scott2008inconvenient</t>
  </si>
  <si>
    <t>Inconvenient truths about neural processing in primary motor cortex</t>
  </si>
  <si>
    <t>Highlights difficulties in interpreting M1 activity under simple coding schemes.</t>
  </si>
  <si>
    <t>peternel2017unifying</t>
  </si>
  <si>
    <t>Peternel, Sigaud &amp; Babič</t>
  </si>
  <si>
    <t>Unifying speed-accuracy trade-off and cost-benefit trade-off in human reaching movements</t>
  </si>
  <si>
    <t>Unifies speed-accuracy and cost-benefit trade-offs in reaching.</t>
  </si>
  <si>
    <t>Frontiers in human neuroscience</t>
  </si>
  <si>
    <t>speed-accuracy / cost-benefit reaching, no external event</t>
  </si>
  <si>
    <t>madhav2020synergy</t>
  </si>
  <si>
    <t>Madhav &amp; Cowan</t>
  </si>
  <si>
    <t>The synergy between neuroscience and control theory: the nervous system as inspiration for hard control challenges</t>
  </si>
  <si>
    <t>Reviews synergies between neuroscience and control theory for hard control problems.</t>
  </si>
  <si>
    <t>Annual Review of Control, Robotics, and Autonomous Systems</t>
  </si>
  <si>
    <t>martinez2022dynamical</t>
  </si>
  <si>
    <t>Martinez et al.</t>
  </si>
  <si>
    <t>Dynamical models in neuroscience from a closed-loop control perspective</t>
  </si>
  <si>
    <t>Reviews closed-loop control perspectives on dynamical models in neuroscience.</t>
  </si>
  <si>
    <t>IEEE Reviews in Biomedical Engineering</t>
  </si>
  <si>
    <t>kahneman1984choices</t>
  </si>
  <si>
    <t>Kahneman &amp; Tversky</t>
  </si>
  <si>
    <t>1984</t>
  </si>
  <si>
    <t>Choices, values, and frames.</t>
  </si>
  <si>
    <t>Gives a prospect-theory account of how framing shapes choices among values.</t>
  </si>
  <si>
    <t>American psychologist</t>
  </si>
  <si>
    <t>gastaut1954potentiels</t>
  </si>
  <si>
    <t>Gastaut, Henri J and Benoit, Paul H and Vigouroux, Micheline and Roger, Anette</t>
  </si>
  <si>
    <t>Potentiels évoqués par des stimuli auditifs sur la région temporale de certains épileptiques</t>
  </si>
  <si>
    <t>Saliency</t>
  </si>
  <si>
    <t>Surprise &amp; novelty</t>
  </si>
  <si>
    <t>EEG (laser-evoked)</t>
  </si>
  <si>
    <t>VP across modalities</t>
  </si>
  <si>
    <t>So-Called “Psychomotor” and “Temporal” Epilepsy: A CRITICAL STUDY. One of the historical references for the VP (couldn't download, try again from EMBL VPN)</t>
  </si>
  <si>
    <t>early auditory evoked potentials in patients, no task</t>
  </si>
  <si>
    <t>bancaud1953encephalography</t>
  </si>
  <si>
    <t>Bancaud, Bloch &amp; Paillard</t>
  </si>
  <si>
    <t>Encephalography; a study of the potentials evoked in man on the level with the vertex</t>
  </si>
  <si>
    <t>Early description of vertex potentials evoked by sensory events.</t>
  </si>
  <si>
    <t>Revue neurologique</t>
  </si>
  <si>
    <t xml:space="preserve">First systematic description of the widespread negative--positive potential maximal at the vertex, evoked by sudden sensory events. &amp;
VP identification (origin) </t>
  </si>
  <si>
    <t>first systematic description of the vertex potential, passive</t>
  </si>
  <si>
    <t>sokolov1963perception</t>
  </si>
  <si>
    <t>Sokolov et al.</t>
  </si>
  <si>
    <t>Perception and the conditioned reflex</t>
  </si>
  <si>
    <t>The orienting response</t>
  </si>
  <si>
    <t>Foundational account of the orienting reflex to novel stimuli.</t>
  </si>
  <si>
    <t>(No Title)</t>
  </si>
  <si>
    <t>Novel stimuli elicit an \emph{orienting response} that habituates with repetition; foundational link from novelty to arousal/orienting. &amp;
Orienting reflex; novelty (classic)</t>
  </si>
  <si>
    <t>orienting reflex with habituation: y1=0.57 because the response depends on what was learned over preceding trials</t>
  </si>
  <si>
    <t>walter1964convergence</t>
  </si>
  <si>
    <t>Walter, W</t>
  </si>
  <si>
    <t>The convergence and interaction of visual, auditory and tactile responses in human nonspecific cortex.</t>
  </si>
  <si>
    <t>multimodal convergence in non-specific cortex, passive</t>
  </si>
  <si>
    <t>clynes1969dynamics</t>
  </si>
  <si>
    <t>Clynes, Manfred</t>
  </si>
  <si>
    <t>Dynamics of vertex evoked potentials: The RM brain function</t>
  </si>
  <si>
    <t>vertex potential dynamics, single subject, passive</t>
  </si>
  <si>
    <t>naatanen1978early</t>
  </si>
  <si>
    <t>Näätänen Risto and Gaillard, Anthony WK and M{\"a}ntysalo, Sirkka</t>
  </si>
  <si>
    <t>Early selective-attention effect on evoked potential reinterpreted</t>
  </si>
  <si>
    <t>Foundational work on MMN</t>
  </si>
  <si>
    <t>Acta Psychologica</t>
  </si>
  <si>
    <t>Skim only</t>
  </si>
  <si>
    <t xml:space="preserve">Relevant in the context of mismatch negativity (important to know, read at least broadly) Checked in the context of studying oddball paradigms (passive to study MMN). In this case passive oddball, detect and count oddballs (In a dichotic listening situation stimuli were presented one at a time and at random to either ear of the subject at constant inter-stimulus intervals of 800 msec. The subject’s task was to detect and count occasional slightly different stimuli in one ear). </t>
  </si>
  <si>
    <t>Passive Oddball</t>
  </si>
  <si>
    <t>naatanen1982processing</t>
  </si>
  <si>
    <t>Näätänen</t>
  </si>
  <si>
    <t>Processing negativity: An evoked-potential reflection.</t>
  </si>
  <si>
    <t>Saliency &amp; attention models</t>
  </si>
  <si>
    <t>Proposes the processing-negativity model of selective attention.</t>
  </si>
  <si>
    <t>Psychological bulletin</t>
  </si>
  <si>
    <t>Introduces \emph{processing negativity} as an electrophysiological index of selective attention. &amp;
Attention index</t>
  </si>
  <si>
    <t>naatanen1982stimulus</t>
  </si>
  <si>
    <t>Näätänen, Simpson &amp; Loveless</t>
  </si>
  <si>
    <t>Stimulus deviance and evoked potentials</t>
  </si>
  <si>
    <t>Classic ignore-oddball: fixed deviant probability, explicit instruction to ignore, hence t = 0.</t>
  </si>
  <si>
    <t>Relates stimulus deviance to evoked-potential responses.</t>
  </si>
  <si>
    <t>Biological psychology</t>
  </si>
  <si>
    <t>Deviant stimuli evoke distinct evoked potentials; early foundations of automatic deviance detection. &amp;
Deviance detection. Empirical study (46 pages insane)</t>
  </si>
  <si>
    <t>classic ignore-oddball, fixed deviant probability, explicit ignore instruction (Roger's own task note gives t=0)</t>
  </si>
  <si>
    <t>marinovic2014corticospinal</t>
  </si>
  <si>
    <t>Marinovic et al.</t>
  </si>
  <si>
    <t>Corticospinal modulation induced by sounds depends on action preparedness</t>
  </si>
  <si>
    <t>Saliency-motor coupling / reactive behaviour</t>
  </si>
  <si>
    <t>Human TMS / corticospinal</t>
  </si>
  <si>
    <t>TMS</t>
  </si>
  <si>
    <t>Shows sound-induced corticospinal modulation depends on action preparedness.</t>
  </si>
  <si>
    <t>loud sound during action preparation, MEP readout; sound near startle intensity</t>
  </si>
  <si>
    <t>han2021sensory</t>
  </si>
  <si>
    <t>Han et al.</t>
  </si>
  <si>
    <t>Sensory attenuation in the absence of movement: differentiating motor action from sense of agency</t>
  </si>
  <si>
    <t>Dissociates motor action from agency in sensory attenuation without movement.</t>
  </si>
  <si>
    <t>Cortex</t>
  </si>
  <si>
    <t>sensory attenuation without movement</t>
  </si>
  <si>
    <t>scholz1999uncontrolled</t>
  </si>
  <si>
    <t>Scholz &amp; Schöner</t>
  </si>
  <si>
    <t>The uncontrolled manifold concept: identifying control variables for a functional task</t>
  </si>
  <si>
    <t>Uncontrolled Manifold</t>
  </si>
  <si>
    <t>Behavioural + method</t>
  </si>
  <si>
    <t>Uncotrolled manifold</t>
  </si>
  <si>
    <t>Introduces the uncontrolled-manifold method for identifying task-relevant control variables.</t>
  </si>
  <si>
    <t>Uncontroll manifold</t>
  </si>
  <si>
    <t>UCM analysis of an unperturbed functional task</t>
  </si>
  <si>
    <t>naatanen1987n1</t>
  </si>
  <si>
    <t>Näätänen &amp; Picton</t>
  </si>
  <si>
    <t>The N1 wave of the human electric and magnetic response to sound: a review and an analysis of the component structure</t>
  </si>
  <si>
    <t>Comprehensive review of the auditory N1 component and its subcomponents.</t>
  </si>
  <si>
    <t>Psychophysiology</t>
  </si>
  <si>
    <t>Reading</t>
  </si>
  <si>
    <t>One of the foundations of GDI research, need to read properly. Characterises the auditory \emph{N1} and its component structure as a transient response to stimulus onset/change. &amp;
Evoked-response components</t>
  </si>
  <si>
    <t xml:space="preserve">Bourbon et al. </t>
  </si>
  <si>
    <t>Habituation of auditory event-related potentials: a comparison of self-initiated and automated stimulus trains t</t>
  </si>
  <si>
    <t>After GDI insights on similar paradigms in the present</t>
  </si>
  <si>
    <t>self-initiated vs automated stimulus trains, habituation across trials (y1=0.57)</t>
  </si>
  <si>
    <t>Papanicolaou et al</t>
  </si>
  <si>
    <t>Selective Attention Effects on Somatosensory Evoked Potentials</t>
  </si>
  <si>
    <t>selective-attention somatosensory evoked potentials; attended stream is the task</t>
  </si>
  <si>
    <t>Luis García-Larrea, Hélène Bastuji, François Mauguière</t>
  </si>
  <si>
    <t>Mapping study of somatosensory evoked potentials during selective spatial attention</t>
  </si>
  <si>
    <t>as papanicolaou1989, spatial attention mapping</t>
  </si>
  <si>
    <t>naatanen2018attention</t>
  </si>
  <si>
    <t>Attention and brain function</t>
  </si>
  <si>
    <t>Synthesis of attention and brain function.</t>
  </si>
  <si>
    <t>Hillsdale, NJ: Lawrence Erlbaum</t>
  </si>
  <si>
    <t>Synthesises attention and evoked-potential mechanisms (deviance, orienting, selection). &amp;
They suggest the model adjustment hypothesis, as an explanation of the MMN. This hypothesis says that MMN results from a comparison between the present auditory input and the memory trace of previous sounds. According to this
hypothesis, the MMN is a response to an unexpected stimulus change!!!!!</t>
  </si>
  <si>
    <t>tarkka1993equivalent</t>
  </si>
  <si>
    <t>Tarkka, IM and Treede, RD</t>
  </si>
  <si>
    <t>Equivalent electrical source analysis of pain-related somatosensory evoked potentials elicited by a CO2 laser</t>
  </si>
  <si>
    <t>laser-evoked source analysis, passive</t>
  </si>
  <si>
    <t>naatanen1995mismatch</t>
  </si>
  <si>
    <t>The mismatch negativity: a powerful tool for cognitive neuroscience</t>
  </si>
  <si>
    <t>Presents the mismatch negativity as a tool for studying deviance detection.</t>
  </si>
  <si>
    <t>Ear and hearing</t>
  </si>
  <si>
    <t>The \emph{mismatch negativity (MMN)} indexes automatic detection of deviation from a learned regularity --- an early prediction-error signal. &amp;
Deviance / prediction error. Relevant in the context of mismatch negativity (important to know, read at least broadly)</t>
  </si>
  <si>
    <t>This article reviews research on the relatively recently discovered event-related potential component, the mismatch negativity (MMN), which is of great potential interest for understanding central
auditory function and various forms of its pathology. This change-specific response can serve as an accurate objective measure for central sound representations that form the basis, for instance, for correct hearing of speech. Deficiencies in the MMN may be related to different forms of deficits in central auditory processing</t>
  </si>
  <si>
    <t>schultz1997neural</t>
  </si>
  <si>
    <t>Schultz, Dayan &amp; Montague</t>
  </si>
  <si>
    <t>A neural substrate of prediction and reward</t>
  </si>
  <si>
    <t>Dopamine reward-prediction-error / TD-learning synthesis</t>
  </si>
  <si>
    <t>Identifies dopamine activity as a reward-prediction-error signal, linking it to temporal-difference reinforcement learning.</t>
  </si>
  <si>
    <t>https://doi.org/10.1126/science.275.5306.1593</t>
  </si>
  <si>
    <t>New</t>
  </si>
  <si>
    <t>Suggested addition - verify</t>
  </si>
  <si>
    <t>jung2000removal</t>
  </si>
  <si>
    <t>Jung, Tzyy-Ping and Makeig, Scott and Westerfield, Marissa and Townsend, Jeanne and Courchesne, Eric and Sejnowski, Terrence J</t>
  </si>
  <si>
    <t>Removal of eye activity artifacts from visual event-related potentials in normal and clinical subjects</t>
  </si>
  <si>
    <t>0 Surprise-evoked disrup</t>
  </si>
  <si>
    <t xml:space="preserve">Filtering methodology for the kinematics data analysis </t>
  </si>
  <si>
    <t>boulinguez2001manual</t>
  </si>
  <si>
    <t>Boulinguez, Philippe and Nougier, Vincent and Velay, Jean-Luc</t>
  </si>
  <si>
    <t>Manual asymmetries in reaching movement control. I: Study of right-handers</t>
  </si>
  <si>
    <t>mieschke2001manual</t>
  </si>
  <si>
    <t>Mieschke, Paul E and Elliott, Digby and Helsen, Werner F and Carson, Richard G and Coull, Jamie A</t>
  </si>
  <si>
    <t>Manual asymmetries in the preparation and control of goal-directed movements</t>
  </si>
  <si>
    <t>itti2001computational</t>
  </si>
  <si>
    <t>Itti &amp; Koch</t>
  </si>
  <si>
    <t>Computational modelling of visual attention</t>
  </si>
  <si>
    <t>Modelling / review</t>
  </si>
  <si>
    <t>Foundational computational model of bottom-up visual saliency and attention.</t>
  </si>
  <si>
    <t>engbert2003microsaccades</t>
  </si>
  <si>
    <t>Engbert, Ralf and Kliegl, Reinhold}</t>
  </si>
  <si>
    <t>Microsaccades uncover the orientation of covert attention</t>
  </si>
  <si>
    <t>Shows the unexpected stimuli modulate microsaccades frequency.</t>
  </si>
  <si>
    <t>Vision research</t>
  </si>
  <si>
    <t>Reference for microsccades modulation by unexpected events (from sofi)</t>
  </si>
  <si>
    <t>New, from Saliency lit</t>
  </si>
  <si>
    <t>microsaccades under a covert-attention cue; fixation is the sustained hold</t>
  </si>
  <si>
    <t>ranganath2003neural</t>
  </si>
  <si>
    <t>Ranganath &amp; Rainer</t>
  </si>
  <si>
    <t>Neural mechanisms for detecting and remembering novel events</t>
  </si>
  <si>
    <t>Reviews neural mechanisms for detecting and remembering novel events.</t>
  </si>
  <si>
    <t>corneil2004visual</t>
  </si>
  <si>
    <t>Corneil, Olivier &amp; Munoz</t>
  </si>
  <si>
    <t>Visual responses on neck muscles reveal selective gating that prevents express saccades</t>
  </si>
  <si>
    <t>Neck-muscle EMG</t>
  </si>
  <si>
    <t>Shows visual responses on neck muscles reveal gating that prevents express saccades.</t>
  </si>
  <si>
    <t>saccade task with neck EMG; the visual target is the imperative, R1</t>
  </si>
  <si>
    <t>yu2005uncertainty</t>
  </si>
  <si>
    <t>Yu &amp; Dayan</t>
  </si>
  <si>
    <t>Uncertainty, neuromodulation, and attention</t>
  </si>
  <si>
    <t>Bayesian model of expected vs unexpected uncertainty (ACh/NE)</t>
  </si>
  <si>
    <t>Proposes acetylcholine signals expected uncertainty and norepinephrine unexpected uncertainty, shaping attention and learning.</t>
  </si>
  <si>
    <t>https://doi.org/10.1016/j.neuron.2005.04.026</t>
  </si>
  <si>
    <t>mouraux2008across</t>
  </si>
  <si>
    <t>Mouraux &amp; Iannetti</t>
  </si>
  <si>
    <t>Across-trial averaging of event-related EEG responses and beyond</t>
  </si>
  <si>
    <t>EEG analysis</t>
  </si>
  <si>
    <t>Methodological treatment of across-trial averaging of event-related responses.</t>
  </si>
  <si>
    <t>Magnetic resonance imaging</t>
  </si>
  <si>
    <t>iannetti2008determinants</t>
  </si>
  <si>
    <t>Iannetti et al.</t>
  </si>
  <si>
    <t>Determinants of laser-evoked EEG responses: pain perception or stimulus saliency?</t>
  </si>
  <si>
    <t>Pain &amp; salience (Iannetti)</t>
  </si>
  <si>
    <t>Argues laser-evoked EEG responses track stimulus saliency rather than pain per se.</t>
  </si>
  <si>
    <t>https://doi.org/10.1152/jn.00097.2008</t>
  </si>
  <si>
    <t xml:space="preserve">Magnitude of laser-evoked (vertex) responses is governed by stimulus \emph{saliency} (novelty / contrast with context) and is dissociable from perceived pain intensity; the response declines as saliency falls (repetition, expectation). &amp;
\textbf{Adaptation} of the VP; perceptual dissociation </t>
  </si>
  <si>
    <t>laser stimuli rated trial by trial: the stimulus is the object of the task (t=0.83) even though it is called task-irrelevant elsewhere in this literature</t>
  </si>
  <si>
    <t>howarth2009rule</t>
  </si>
  <si>
    <t>Howarth, Samuel J and Callaghan, Jack P</t>
  </si>
  <si>
    <t>The rule of 1 s for padding kinematic data prior to digital filtering: Influence of sampling and filter cutoff frequencies</t>
  </si>
  <si>
    <t>pogosyan2009boosting</t>
  </si>
  <si>
    <t>Pogosyan, Alek and Gaynor, Louise Doyle and Eusebio, Alexandre and Brown, Peter</t>
  </si>
  <si>
    <t>Boosting cortical activity at beta-band frequencies slows movement in humans</t>
  </si>
  <si>
    <t>Methods paper used to filter out the data trials outside 3std from the mean (for kinematic, used in Kiliantri (marina's) both papers</t>
  </si>
  <si>
    <t>garrido2009mismatch</t>
  </si>
  <si>
    <t>Garrido, Marta I and Kilner, James M and Stephan, Klaas E and Friston, Karl J</t>
  </si>
  <si>
    <t>The mismatch negativity: a review of underlying mechanisms</t>
  </si>
  <si>
    <t>Review on MMN</t>
  </si>
  <si>
    <t>Clinical neurophysiology</t>
  </si>
  <si>
    <t>The mismatch negativity (MMN) is a brain response to violations of a rule, established by a sequence of sensory stimuli (typically in the auditory domain) This is not an accurate description!! It is not the response it is the subtraction: .This paper presents a review of studies that focus on neuronal mechanisms underlying the MMN generation, discusses the two major explanatory hypotheses, and proposes predictive coding as a general framework that attempts to unify both.</t>
  </si>
  <si>
    <t>mouraux2009nociceptive</t>
  </si>
  <si>
    <t>Nociceptive laser-evoked brain potentials do not reflect nociceptive-specific neural activity</t>
  </si>
  <si>
    <t>Shows nociceptive laser-evoked potentials are not nociceptive-specific.</t>
  </si>
  <si>
    <t>https://doi.org/10.1152/jn.91181.2008</t>
  </si>
  <si>
    <t>Most of the laser-evoked response reflects multimodal, saliency-related activity, are not nociceptive-specific neural activity.
Sensory / modality non-specificity (of VP) This is also one of the citations of Sofi when introducing the VP, seems like is the first time that GDI extended it from a pure nociceptive-specific neural activity (perhaps making him change from pain). Also interesting to read and score tonight!</t>
  </si>
  <si>
    <t>as iannetti2008, nociceptive-specificity control</t>
  </si>
  <si>
    <t>itti2009bayesian</t>
  </si>
  <si>
    <t>Itti &amp; Baldi</t>
  </si>
  <si>
    <t>Bayesian surprise attracts human attention</t>
  </si>
  <si>
    <t>Bayesian-surprise model + gaze experiments</t>
  </si>
  <si>
    <t>Defines Bayesian surprise (KL between prior and posterior) and shows it predicts human gaze better than low-level saliency.</t>
  </si>
  <si>
    <t>Vision Research</t>
  </si>
  <si>
    <t>https://doi.org/10.1016/j.visres.2008.09.007</t>
  </si>
  <si>
    <t>Surprise terminology</t>
  </si>
  <si>
    <t>free viewing of natural video; natural scene statistics is the z=1 rung and free viewing the y=1 rung, but there is no task at all</t>
  </si>
  <si>
    <t>rao1999predictive</t>
  </si>
  <si>
    <t>Rao, Rajesh PN and Ballard, Dana H</t>
  </si>
  <si>
    <t>Predictive coding in the visual cortex: a functional interpretation of some extra-classical receptive-field effects</t>
  </si>
  <si>
    <t>Hierarchical predictive-coding model</t>
  </si>
  <si>
    <t>Foundational hierarchical predictive coding; historical anchor on predictive coding and strong reference about hierarchical models as well (rather than exclusively serial or feedforward)</t>
  </si>
  <si>
    <t>https://doi.org/10.1038/4580</t>
  </si>
  <si>
    <t>Casts cortical responses as hierarchical prediction-error minimisation; the computational root of predictive coding. Predictive coding used to understand receptive fields from encoding images. ABSTRACT: We describe a model of visual processing in which feedback connections from a higher- to a lower-order visual cortical area carry predictions of lower-level neural activities, whereas the feedforward connections carry the residual errors between the predictions and the actual lower-level activities. When exposed to natural images, a hierarchical network of model neurons implementing such a model developed simple-cell-like receptive fields. A subset of neurons responsible for carrying the residual errors showed endstopping and other extra-classical receptive-field effects. These results suggest that rather than being exclusively feedforward phenomena, nonclassical surround effects in the visual cortex may also result from cortico-cortical feedback as a consequence of the visual system using an efficient hierarchical strategy for encoding natural images.</t>
  </si>
  <si>
    <t>friston2006free</t>
  </si>
  <si>
    <t>Friston, Kilner &amp; Harrison</t>
  </si>
  <si>
    <t>A free energy principle for the brain</t>
  </si>
  <si>
    <t>Free-energy formulation of perception and action</t>
  </si>
  <si>
    <t>Original statement of the free-energy principle: agents minimise variational free energy to resist disorder.</t>
  </si>
  <si>
    <t>Journal of Physiology-Paris</t>
  </si>
  <si>
    <t>https://doi.org/10.1016/j.jphysparis.2006.10.001</t>
  </si>
  <si>
    <t>dacosta2020active</t>
  </si>
  <si>
    <t>Da Costa, Parr, Sajid, Veselic, Neacsu &amp; Friston</t>
  </si>
  <si>
    <t>Active inference on discrete state-spaces: a synthesis</t>
  </si>
  <si>
    <t>Mathematical synthesis of discrete-state active inference</t>
  </si>
  <si>
    <t>Complete mathematical synthesis of discrete-state (POMDP) active inference, deriving neuronal dynamics from first principles.</t>
  </si>
  <si>
    <t>Journal of Mathematical Psychology</t>
  </si>
  <si>
    <t>https://doi.org/10.1016/j.jmp.2020.102447</t>
  </si>
  <si>
    <t>AIF workshop, discrete spaces</t>
  </si>
  <si>
    <t>buckley2017free</t>
  </si>
  <si>
    <t>Buckley, Kim, McGregor &amp; Seth</t>
  </si>
  <si>
    <t>The free energy principle for action and perception: a mathematical review</t>
  </si>
  <si>
    <t>Mathematical review of continuous-state FEP</t>
  </si>
  <si>
    <t>Rigorous mathematical review of the continuous-state free-energy formulation of perception and action.</t>
  </si>
  <si>
    <t>https://doi.org/10.1016/j.jmp.2017.09.004</t>
  </si>
  <si>
    <t>To print</t>
  </si>
  <si>
    <t>smith2022step</t>
  </si>
  <si>
    <t>Smith, Friston &amp; Whyte</t>
  </si>
  <si>
    <t>A step-by-step tutorial on active inference and its application to empirical data</t>
  </si>
  <si>
    <t>POMDP active-inference tutorial with code</t>
  </si>
  <si>
    <t>Practical tutorial for building, simulating and fitting discrete active-inference models to behavioural data.</t>
  </si>
  <si>
    <t>https://doi.org/10.1016/j.jmp.2021.102632</t>
  </si>
  <si>
    <t>wolpert2001motor</t>
  </si>
  <si>
    <t>Wolpert, Daniel M and Flanagan, J Randall</t>
  </si>
  <si>
    <t>Motor prediction</t>
  </si>
  <si>
    <t>Anatomical mapping</t>
  </si>
  <si>
    <t>Current biology</t>
  </si>
  <si>
    <t>Post UK Sensorimotor</t>
  </si>
  <si>
    <t>review</t>
  </si>
  <si>
    <t>feldman2010attention</t>
  </si>
  <si>
    <t>Feldman, Harriet and Friston, Karl J.</t>
  </si>
  <si>
    <t>Attention, {Uncertainty}, and {Free}-{Energy}</t>
  </si>
  <si>
    <t>Attention = precision; connects framework to psychophysical and neural attention effects</t>
  </si>
  <si>
    <t>Frontiers in Human Neuroscience</t>
  </si>
  <si>
    <t xml:space="preserve">We suggested recently that attention can be understood as inferring the level of uncertainty or precision during hierarchical perception. They also propose that attention acts as sensory gain control by modulating the precision of prediction errors in early sensory regions. </t>
  </si>
  <si>
    <t>iannetti2010neuromatrix</t>
  </si>
  <si>
    <t>Iannetti &amp; Mouraux</t>
  </si>
  <si>
    <t>From the neuromatrix to the pain matrix (and back)</t>
  </si>
  <si>
    <t>Traces the shift from neuromatrix to a salience-based view of the pain matrix.</t>
  </si>
  <si>
    <t>schmidhuber2010formal</t>
  </si>
  <si>
    <t>Schmidhuber</t>
  </si>
  <si>
    <t>Formal theory of creativity, fun, and intrinsic motivation (1990--2010)</t>
  </si>
  <si>
    <t>Compression-progress / intrinsic-motivation theory</t>
  </si>
  <si>
    <t>Frames curiosity/creativity as intrinsic reward for improvements in data compressibility (learning progress).</t>
  </si>
  <si>
    <t>IEEE Transactions on Autonomous Mental Development</t>
  </si>
  <si>
    <t>https://doi.org/10.1109/TAMD.2010.2056368</t>
  </si>
  <si>
    <t>friston2017curiosity</t>
  </si>
  <si>
    <t>Friston, Lin, Frith, Pezzulo, Hobson &amp; Ondobaka</t>
  </si>
  <si>
    <t>Active inference, curiosity and insight</t>
  </si>
  <si>
    <t>Active-inference simulations of epistemic foraging / structure learning</t>
  </si>
  <si>
    <t>Formalises curiosity and insight as minimisation of expected free energy, driving active sampling of novel contingencies.</t>
  </si>
  <si>
    <t>Neural Computation</t>
  </si>
  <si>
    <t>https://doi.org/10.1162/neco_a_00999</t>
  </si>
  <si>
    <t>legrain2011pain</t>
  </si>
  <si>
    <t>Legrain et al.</t>
  </si>
  <si>
    <t>The pain matrix reloaded: a salience detection system for the body</t>
  </si>
  <si>
    <t>Reinterprets the pain matrix as a salience-detection system for the body.</t>
  </si>
  <si>
    <t>Reframes the pain matrix as a \emph{salience-detection system for the body}.</t>
  </si>
  <si>
    <t>behrens2007learning</t>
  </si>
  <si>
    <t>Behrens, Woolrich, Walton &amp; Rushworth</t>
  </si>
  <si>
    <t>Learning the value of information in an uncertain world</t>
  </si>
  <si>
    <t>Bayesian volatility model + fMRI (ACC)</t>
  </si>
  <si>
    <t>Humans track environmental volatility near-optimally and adjust learning rate; volatility signal tracked in ACC.</t>
  </si>
  <si>
    <t>https://doi.org/10.1038/nn1954</t>
  </si>
  <si>
    <t>volatility itself is manipulated: the only clean z=1 design in the corpus</t>
  </si>
  <si>
    <t>wolpert1995internal</t>
  </si>
  <si>
    <t>Wolpert, Ghahramani &amp; Jordan</t>
  </si>
  <si>
    <t>An internal model for sensorimotor integration</t>
  </si>
  <si>
    <t>Reaching state-estimation experiment + Kalman-filter analysis</t>
  </si>
  <si>
    <t>https://doi.org/10.1126/science.7569931</t>
  </si>
  <si>
    <t>Post neuro Monster</t>
  </si>
  <si>
    <t>kording2004bayesian</t>
  </si>
  <si>
    <t>Koerding &amp; Wolpert</t>
  </si>
  <si>
    <t>Bayesian integration in sensorimotor learning</t>
  </si>
  <si>
    <t>Visuomotor estimation experiment; Bayesian integration</t>
  </si>
  <si>
    <t>Humans combine a learned prior with sensory uncertainty in a Bayes-optimal way during motor learning.</t>
  </si>
  <si>
    <t>https://doi.org/10.1038/nature02169</t>
  </si>
  <si>
    <t>visuomotor shift drawn from an explicit prior: exactly the z=0.67 rung</t>
  </si>
  <si>
    <t>knill2004bayesian</t>
  </si>
  <si>
    <t>Knill &amp; Pouget</t>
  </si>
  <si>
    <t>The Bayesian brain: the role of uncertainty in neural coding and computation</t>
  </si>
  <si>
    <t>Review of Bayesian / uncertainty coding in the brain</t>
  </si>
  <si>
    <t>Reviews the Bayesian-brain hypothesis: neurons represent and compute with probability distributions to handle uncertainty.</t>
  </si>
  <si>
    <t>Trends in Neurosciences</t>
  </si>
  <si>
    <t>https://doi.org/10.1016/j.tins.2004.10.007</t>
  </si>
  <si>
    <t>harris1998signal</t>
  </si>
  <si>
    <t>Harris &amp; Wolpert</t>
  </si>
  <si>
    <t>Signal-dependent noise determines motor planning</t>
  </si>
  <si>
    <t>Minimum-variance model under signal-dependent noise</t>
  </si>
  <si>
    <t>Trajectories minimise endpoint variance given signal-dependent motor noise, explaining stereotyped kinematics and Fitts's law.</t>
  </si>
  <si>
    <t>https://doi.org/10.1038/29528</t>
  </si>
  <si>
    <t>moore_awareness_2008</t>
  </si>
  <si>
    <t>Awareness of action: {Inference} and prediction</t>
  </si>
  <si>
    <t>They show that experience of action depends on a dynamic combination of predictive and inferential processes</t>
  </si>
  <si>
    <t xml:space="preserve">They show that action awareness represents a dynamic fusion of predictive and inferential processes in the brain. </t>
  </si>
  <si>
    <t>gold2007neural</t>
  </si>
  <si>
    <t>Gold &amp; Shadlen</t>
  </si>
  <si>
    <t>The neural basis of decision making</t>
  </si>
  <si>
    <t>Review of evidence-accumulation decision neurophysiology</t>
  </si>
  <si>
    <t>Reviews how the brain forms simple decisions by accumulating evidence to a threshold (deliberation and commitment).</t>
  </si>
  <si>
    <t>Annual Review of Neuroscience</t>
  </si>
  <si>
    <t>https://doi.org/10.1146/annurev.neuro.29.051605.113038</t>
  </si>
  <si>
    <t>bogacz2006physics</t>
  </si>
  <si>
    <t>Bogacz, Brown, Moehlis, Holmes &amp; Cohen</t>
  </si>
  <si>
    <t>The physics of optimal decision making: a formal analysis of models of performance in two-alternative forced-choice tasks</t>
  </si>
  <si>
    <t>Formal analysis of 2AFC decision models (DDM optimality)</t>
  </si>
  <si>
    <t>Shows most 2AFC decision models reduce to the drift-diffusion model and characterises the optimal speed-accuracy trade-off.</t>
  </si>
  <si>
    <t>Psychological Review</t>
  </si>
  <si>
    <t>https://doi.org/10.1037/0033-295X.113.4.700</t>
  </si>
  <si>
    <t>shadmehr2010error</t>
  </si>
  <si>
    <t>Shadmehr, Smith &amp; Krakauer</t>
  </si>
  <si>
    <t>Error correction, sensory prediction, and adaptation in motor control</t>
  </si>
  <si>
    <t>Review of forward models, sensory prediction &amp; adaptation</t>
  </si>
  <si>
    <t>Reviews how forward models, sensory-prediction errors and adaptation keep movements calibrated.</t>
  </si>
  <si>
    <t>https://doi.org/10.1146/annurev-neuro-060909-153135</t>
  </si>
  <si>
    <t>bastos2012canonical</t>
  </si>
  <si>
    <t>Bastos, Usrey, Adams, Mangun, Fries &amp; Friston</t>
  </si>
  <si>
    <t>Canonical microcircuits for predictive coding</t>
  </si>
  <si>
    <t>Cortical-microcircuit / predictive-coding synthesis</t>
  </si>
  <si>
    <t>Maps predictive-coding computations onto canonical laminar cortical microcircuitry (Bayesian message passing).</t>
  </si>
  <si>
    <t>https://doi.org/10.1016/j.neuron.2012.10.038</t>
  </si>
  <si>
    <t>friston2012active</t>
  </si>
  <si>
    <t>Friston, Samothrakis &amp; Montague</t>
  </si>
  <si>
    <t>Active inference and agency: optimal control without cost functions</t>
  </si>
  <si>
    <t>Reframes agency as active inference, replacing explicit cost functions with prior preferences.</t>
  </si>
  <si>
    <t>Biological cybernetics</t>
  </si>
  <si>
    <t>Link between discrete time active inference problems (POMDP) and optimal control problems. Also interesting glossary! Difference between action (real valued states than change the hiddens states of the real world) vs control (fictive hidden states that are used to explain the consequences of action, this ones are included in generative model, not actions, actions in the generative process)</t>
  </si>
  <si>
    <t>todorov2009efficient</t>
  </si>
  <si>
    <t>Efficient computation of optimal actions</t>
  </si>
  <si>
    <t>Introduces linearly-solvable MDPs for efficient computation of optimal actions.</t>
  </si>
  <si>
    <t>straub2023probabilistic</t>
  </si>
  <si>
    <t>Straub et al.</t>
  </si>
  <si>
    <t>Probabilistic inverse optimal control for non-linear partially observable systems disentangles perceptual uncertainty and behavioral costs</t>
  </si>
  <si>
    <t>Probabilistic inverse optimal control that separates perceptual uncertainty from behavioural costs.</t>
  </si>
  <si>
    <t>Advances in Neural Information Processing Systems</t>
  </si>
  <si>
    <t>garrabe2025convex</t>
  </si>
  <si>
    <t>Garrabe et al.</t>
  </si>
  <si>
    <t>On convex data-driven inverse optimal control for nonlinear, non-stationary and stochastic systems</t>
  </si>
  <si>
    <t>Convex data-driven approach to inverse optimal control for nonlinear stochastic systems.</t>
  </si>
  <si>
    <t>Automatica</t>
  </si>
  <si>
    <t>bryson1996optimal</t>
  </si>
  <si>
    <t>Bryson</t>
  </si>
  <si>
    <t>Optimal control-1950 to 1985</t>
  </si>
  <si>
    <t>Historical overview of optimal control theory from 1950 to 1985.</t>
  </si>
  <si>
    <t>IEEE Control Systems Magazine</t>
  </si>
  <si>
    <t>historical review</t>
  </si>
  <si>
    <t>deng1997stochastic</t>
  </si>
  <si>
    <t>Deng &amp; Krstić</t>
  </si>
  <si>
    <t>Stochastic nonlinear stabilization II: Inverse optimality</t>
  </si>
  <si>
    <t>Develops inverse-optimality results for stochastic nonlinear stabilization.</t>
  </si>
  <si>
    <t>Systems &amp; control letters</t>
  </si>
  <si>
    <t>davydov2025time</t>
  </si>
  <si>
    <t>Davydov et al.</t>
  </si>
  <si>
    <t>Time-varying convex optimization: A contraction and equilibrium tracking approach</t>
  </si>
  <si>
    <t>Contraction-based tracking of equilibria for time-varying convex optimization.</t>
  </si>
  <si>
    <t>IEEE Transactions on Automatic Control</t>
  </si>
  <si>
    <t>kullback1951information</t>
  </si>
  <si>
    <t>Kullback &amp; Leibler</t>
  </si>
  <si>
    <t>On information and sufficiency</t>
  </si>
  <si>
    <t>Introduces the Kullback-Leibler divergence between probability distributions.</t>
  </si>
  <si>
    <t>The Annals of Mathematical Statistics</t>
  </si>
  <si>
    <t>shafiei2026free</t>
  </si>
  <si>
    <t>Shafiei, Rodrigues &amp; Russo</t>
  </si>
  <si>
    <t>Free-Energy Minimizing Policies Under Generative Model Ambiguity</t>
  </si>
  <si>
    <t>Studies free-energy-minimizing policies under ambiguity in the generative model.</t>
  </si>
  <si>
    <t>arXiv preprint arXiv:2604.08222</t>
  </si>
  <si>
    <t>Preprint</t>
  </si>
  <si>
    <t>maisto2025flock</t>
  </si>
  <si>
    <t>Maisto, Nuzzi &amp; Pezzulo</t>
  </si>
  <si>
    <t>What the flock knows that the birds do not: exploring the emergence of joint agency in multi-agent active inference</t>
  </si>
  <si>
    <t>Explores the emergence of joint agency in multi-agent active inference.</t>
  </si>
  <si>
    <t>arXiv preprint arXiv:2511.10835</t>
  </si>
  <si>
    <t>maramotti2026understanding</t>
  </si>
  <si>
    <t>Maramotti et al.</t>
  </si>
  <si>
    <t>Understanding mechanisms of voluntary engagement of mental effort using active inference</t>
  </si>
  <si>
    <t>Models voluntary engagement of mental effort as active inference.</t>
  </si>
  <si>
    <t>Cognitive, Affective, &amp; Behavioral Neuroscience</t>
  </si>
  <si>
    <t>Post AIF workshop</t>
  </si>
  <si>
    <t>poublan2026modulation</t>
  </si>
  <si>
    <t>Poublan-Couzardot et al.</t>
  </si>
  <si>
    <t>Modulation of sensory attenuation by intensive meditation practice: an active inference perspective</t>
  </si>
  <si>
    <t>Examines how intensive meditation modulates sensory attenuation, interpreted through active inference.</t>
  </si>
  <si>
    <t>Neuroscience of Consciousness</t>
  </si>
  <si>
    <t>Post AIF workshop: sensory attenuation thorugh AIF</t>
  </si>
  <si>
    <t>self-generated tones, meditation as a between-group factor</t>
  </si>
  <si>
    <t>gyorgy2013memory</t>
  </si>
  <si>
    <t>Memory, navigation and theta rhythm in the hippocampal-entorhinal system</t>
  </si>
  <si>
    <t>Argues that the mechanisms of memory and planning for navigation have evolved similarly</t>
  </si>
  <si>
    <t>They propose that mechanisms of memory and planning have evolved from mechanisms of navigation in the physical world and hypothesize that the neuronal algorithms underlying navigation in real and mental space are fundamentally the same. He in fact talked about this in his talk at neuroMONSTER (take a further look, seems interesting with the episodic (ego-centric) and semantic (allocentric) memory, related to the egocnetric and allocentric space action fields</t>
  </si>
  <si>
    <t>gyorgy2062</t>
  </si>
  <si>
    <t>Time, space, memory and brain–body rhythms</t>
  </si>
  <si>
    <t>gyorgy2014cognition</t>
  </si>
  <si>
    <t>Emergence of Cognition from Action</t>
  </si>
  <si>
    <t>Cognition from action, loops of memory and learning for different brain systems (cognition is time-deferred action, inside out perspective from a different len)</t>
  </si>
  <si>
    <t>Tehy propose a neuroscience-based model of cognition. Our core hypothesis is that cognition depends on internal
models of the animal and its world, where internally generated sequences can serve to perform
“what if” scenarios and anticipate the possible consequences of alternative actions without actually
testing them, and aid in the decisions of overt actions. Version of the scheme of the brain fucntion, for different complexity level systems (also for learning, i.e. the planning without the interaction witht he world)</t>
  </si>
  <si>
    <t>haanpaa2011neupsig</t>
  </si>
  <si>
    <t>Haanpää et al.</t>
  </si>
  <si>
    <t>NeuPSIG guidelines on neuropathic pain assessment</t>
  </si>
  <si>
    <t>Clinical guideline</t>
  </si>
  <si>
    <t>Consensus guidelines for neuropathic-pain assessment.</t>
  </si>
  <si>
    <t>PAIN®</t>
  </si>
  <si>
    <t>mouraux2011multisensory</t>
  </si>
  <si>
    <t>Mouraux et al.</t>
  </si>
  <si>
    <t>A multisensory investigation of the functional significance of the “pain matrix”</t>
  </si>
  <si>
    <t>fMRI</t>
  </si>
  <si>
    <t>Shows pain-matrix regions respond to salient non-painful multisensory stimuli.</t>
  </si>
  <si>
    <t>The pain matrix' is engaged by salient stimuli of every modality rightarrow a multimodal saliency network, not a pain-specific one. &amp;
Multimodal saliency (haemodynamic)</t>
  </si>
  <si>
    <t>multisensory salient stimuli with intensity ratings, fMRI</t>
  </si>
  <si>
    <t>valentini2012primary</t>
  </si>
  <si>
    <t>Valentini, Elia and Hu, Li and Chakrabarti, Bhismadev and Hu, Yong and Aglioti, Salvatore Maria and Iannetti, Gian Domenico</t>
  </si>
  <si>
    <t>The primary somatosensory cortex largely contributes to the early part of the cortical response elicited by nociceptive stimuli</t>
  </si>
  <si>
    <t>nociceptive EEG, S1 contribution; design read from the summary only</t>
  </si>
  <si>
    <t>liang2013primary</t>
  </si>
  <si>
    <t>Liang, M and Mouraux, Andr{\'e} and Hu, L and Iannetti, GD</t>
  </si>
  <si>
    <t>Primary sensory cortices contain distinguishable spatial patterns of activity for each sense</t>
  </si>
  <si>
    <t>multimodal EEG patterns per sense</t>
  </si>
  <si>
    <t>adams2013predictions</t>
  </si>
  <si>
    <t>Adams, Shipp &amp; Friston</t>
  </si>
  <si>
    <t>Predictions not commands: active inference in the motor system</t>
  </si>
  <si>
    <t>Recasts descending motor commands as proprioceptive predictions within active inference.</t>
  </si>
  <si>
    <t>Brain Structure and Function</t>
  </si>
  <si>
    <t>shipp2013reflections</t>
  </si>
  <si>
    <t>Shipp, Stewart and Adams, Rick A and Friston, Karl J</t>
  </si>
  <si>
    <t>Reflections on agranular architecture: predictive coding in the motor cortex</t>
  </si>
  <si>
    <t>natural citation for treating M1/cerebellar prediction as predictive coding,</t>
  </si>
  <si>
    <t>Novembre et al.</t>
  </si>
  <si>
    <t>Saliency detection as a reactive process: unexpected sensory events evoke corticomuscular coupling</t>
  </si>
  <si>
    <t>Unexpected + motor control</t>
  </si>
  <si>
    <t>Isometric force hold interrupted by salient irrelevant stimuli with eyes closed; corticomuscular coupling as the readout. The external surprise hierarchy is averaged across the 4 conducted experiment (1 single pulse cross modality, 2 single pulse in either of the modalities, and 1 sequence). For teh stimuli of mild intensity to prevent overt, startle-like motor responses, I considered to be moderatelly rare (p ~ 0.1). Experiment 1: single pulse of different modalities considered in this experiment auditory and electrical stimuli were considered, all of middle intensity, were delivered. Each block comprised between 4 and 6 stimuli presented in randomized order with an interstimulus interval of 5– 8 s (rectangular distribution)</t>
  </si>
  <si>
    <t>EEG + EMG</t>
  </si>
  <si>
    <t>They describe a physiological mechanism coupling saliency-related cortical responses with motor output. Force-modulation by salient stimuli is triphasic, independent of the sensory modality (EXP 1), correlated with the amplitude of the neural elicited response, and dependent on contextual factors (not reflexive, i.e. no startle response seemed evidenced)</t>
  </si>
  <si>
    <t>Frames saliency detection as a reactive process evoking corticomuscular coupling.</t>
  </si>
  <si>
    <t>Motor coupling (reactive process). More explicitly, they show that unexpected salient sensory events trigger fast, global motor facilitation and cortical transients (CMR): the vertex potential is tightly coupled to force modulations in an isometric grip task, demonstrating that saliency detection is not merely perceptive but a reactive process engaging the motor system.</t>
  </si>
  <si>
    <t>Survival in a fast-changing environment requires animals not only to detect unexpected sensory events, but also to react. In
humans, these salient sensory events generate large electrocortical responses, which have been traditionally interpreted within the
sensory domain. Here we describe a basic physiological mechanism coupling saliency-related cortical responses with motor
output. In four experiments conducted on 70 healthy participants, we show that salient substartle sensory stimuli modulate
isometric force exertion by human participants, and that this modulation is tightly coupled with electrocortical activity elicited by
the same stimuli. We obtained four main results. First, the force modulation follows a complex triphasic pattern consisting of
alternating decreases and increases of force, time-locked to stimulus onset. Second, this modulation occurs regardless of the
sensory modality of the eliciting stimulus. Third, the magnitude of the force modulation is predicted by the amplitude of the
electrocortical activity elicited by the same stimuli. Fourth, both neural and motor effects are not reflexive but depend on
contextual factors. Together, these results indicate that sudden environmental stimuli have an immediate effect on motor pro-
cessing, through a tight corticomuscular coupling. These observations suggest that saliency detection is not merely perceptive but
reactive, preparing the animal for subsequent appropriate actions.</t>
  </si>
  <si>
    <t>Here, since the feedback is only visually presented at the beginning, the timescale of the feedback only refers to proprioceptive feedback. Ideally, the value of the timescale should be a distribution with a higher standard deviation, considered by lowering the timescale? Just leaving it here). Also the non-motor task will require the subject to constantly estimate the force exerted while passivelly listening to the sound.</t>
  </si>
  <si>
    <t>feedback to the participants was provided verbally by the experimenters,
who could read the measured force in real time: once the correct level was
reached, participants were instructed to keep the force applied as con-
stant as possible throughout the recording blocks, and keep their eyes
closed, however we consider the continuous proprioceptive feedback (0.71 instead of 0.43)</t>
  </si>
  <si>
    <t>In this case we only consider the surprise of the cross-modality stimuli (either auditory or somatosensory). Hierarchy of the stimuli, if it is timescale, it should be num_stim/time_trial? This would be freq, timescale scales inversely. In this case, we have the surprise of the stimuli between 4 and 6 per block, inter-interval of about 5-8secs, then freq of 1/6.5. Intensity of the probability to have it, in the hierarchy we add that it can be of two sensory modalities 1/2 surpr</t>
  </si>
  <si>
    <t>Here, since the feedback is only visually presented at the beginning, the timescale of the feedback only refers to proprioceptive feedback. Ideally, the value of the timescale should be a distribution with a higher standard deviation, considered by lowering the timescale? Just leaving it here). Also</t>
  </si>
  <si>
    <t>rongaNoveltyNotEnough2013</t>
  </si>
  <si>
    <t>I. Ronga, E. Valentini, A. Mouraux, and G. D. Iannetti</t>
  </si>
  <si>
    <t>Novelty is not enough: laser-evoked potentials are determined by stimulus saliency, not absolute novelty</t>
  </si>
  <si>
    <t>They explore the characteristic of LEP in humans to disentangle the difference between novelty and saliency. This indicates that saliency, rather than novelty per se, is a major determinant of LEP magnitude.</t>
  </si>
  <si>
    <t>Frontiers in Psychology</t>
  </si>
  <si>
    <t>https://doi.org/10.3389/fpsyg.2013.00907</t>
  </si>
  <si>
    <t>They argue that saliency, rather than novelty per se, is a major determinant of LEP magnitude. Furthermore, they also explore the abituation, suggesting that LEP
dishabituation reflects the activity of a system responding to salient sensory input in an all or nothing fashion (this is the paper of the Low-Low-High non-habituation and yes with the high-high-high)</t>
  </si>
  <si>
    <t>GDI lit</t>
  </si>
  <si>
    <t>novelty vs saliency for laser-evoked potentials; habituation across trials</t>
  </si>
  <si>
    <t>barto2013novelty</t>
  </si>
  <si>
    <t>Barto, Mirolli &amp; Baldassarre</t>
  </si>
  <si>
    <t>Novelty or surprise?</t>
  </si>
  <si>
    <t>Conceptual/computational review of novelty vs surprise</t>
  </si>
  <si>
    <t>Argues novelty and surprise are distinct constructs; reviews their formalisations and neural correlates.</t>
  </si>
  <si>
    <t>Marta I. Garrido, Maneesh Sahani, Raymond J. Dolan</t>
  </si>
  <si>
    <t>Outlier Responses Reflect Sensitivity to Statistical Structure in the Human Brain</t>
  </si>
  <si>
    <t xml:space="preserve">They consider a "novel experimental paradigm" (is it??) with behavioural and magnetoencephalographic (MEG) metrics associated with responses to pure-tone sounds with frequencies sampled from a Gaussian distribution. This is, isntead of considering a classic oddball paradigm, they consider a similar paradigm where the oddball and the standard stimuli come from the same distribution, and check whether the participants can learn this distribution and identify outliers from it, and whether this regularity detection evokes a MMN. They have 2 experiments. </t>
  </si>
  <si>
    <t>Internal models</t>
  </si>
  <si>
    <t xml:space="preserve">They study the extraction and encoding of non-sequential stochastic regularities, and detectection violations therein. We observed that sounds in the tail of the distribution evoked a
larger response than those that fell at the centre. This response resembled the mismatch negativity (MMN) evoked by surprising or unlikely events in traditional oddball paradigms. </t>
  </si>
  <si>
    <t xml:space="preserve">Implmeting an extended oddball paradgim, in which both the standard and the oddball stimuli ar drawn from the same distribution, they explore regularity extraction and its neural end bahvioural responses, showing that they are equivalent to the MMN responses, associated to saliency detection and pattern recognition. </t>
  </si>
  <si>
    <t xml:space="preserve">Interesting first description of simple oddball paradigms (similar to the one I have already in my manual notes, might be useful if we want to describe different clusters or paradigms as we move through the evolution of the section of saliency. In fact, it has a lot of references regarding classical oddballs). GDI: they ,might be computing here the mismatch negativity as the whole absolute resposne instead of the subtraction?!? And WTF are the images? Are they really explicatory and </t>
  </si>
  <si>
    <t>Regularity extraction has focused primarily on repetitive sequence-based rules within the sensory environment, or on stimulus-outcome associations in the context of reward-based decision-making. Here we ask whether we implicitly encode non-sequential stochastic regularities, and detect violations therein. We addressed this question using a novel experimental
design and both behavioural and magnetoencephalographic (MEG) metrics associated with responses to pure-tone sounds
with frequencies sampled from a Gaussian distribution. We observed that sounds in the tail of the distribution evoked a
larger response than those that fell at the centre. This response resembled the mismatch negativity (MMN) evoked by
surprising or unlikely events in traditional oddball paradigms. Crucially, responses to physically identical outliers were
greater when the distribution was narrower. These results show that humans implicitly keep track of the uncertainty
induced by apparently random distributions of sensory events. Source reconstruction suggested that the statistical-context-
sensitive responses arose in a temporo-parietal network, areas that have been associated with attention orientation to
unexpected events. Our results demonstrate a very early neurophysiological marker of the brain’s ability to implicitly encode
complex statistical structure in the environment. We suggest that this sensitivity provides a computational basis for our
ability to make perceptual inferences in noisy environments and to make decisions in an uncertain world.</t>
  </si>
  <si>
    <t>tones drawn from a Gaussian in log-frequency; the deviant is defined by a second moment estimated over the whole stream. x/y/x1/y1 follow Roger's own first pass</t>
  </si>
  <si>
    <t>They study the extraction and encoding of non-sequential stochastic regularities, and detectection violations therein. We observed that sounds in the tail of the distribution evoked a
larger response than those that fell at the centre. This response resembled the mismatch negativity (MMN) evoked by surprising or unlikely events in traditional oddball paradigms.</t>
  </si>
  <si>
    <t>duplicate record of garrido_outlier_2013 - flagged for merge</t>
  </si>
  <si>
    <t>Falk Lieder, Klaas E. Stephan, Jean Daunizeau, Marta I. Garrido, Karl J. Friston</t>
  </si>
  <si>
    <t>A Neurocomputational Model of the Mismatch Negativity</t>
  </si>
  <si>
    <t>Simulation</t>
  </si>
  <si>
    <t xml:space="preserve">Bayesian Generalized filtering </t>
  </si>
  <si>
    <t>Dynamical Causal Modelling (DCM)</t>
  </si>
  <si>
    <t>To simulate the MMN under the predictive coding hypothesis,
we simulated the processing of standard and deviant stimuli using
established Bayesian filtering (or predictive coding) – under a
hierarchical dynamic model of repeated stimuli.</t>
  </si>
  <si>
    <t>The mismatch negativity (MMN) is an event related potential evoked by violations of regularity. Here, we present a model of
the underlying neuronal dynamics based upon the idea that auditory cortex continuously updates a generative model to
predict its sensory inputs. The MMN is then modelled as the superposition of the electric fields evoked by neuronal activity
reporting prediction errors. The process by which auditory cortex generates predictions and resolves prediction errors was
simulated using generalised (Bayesian) filtering – a biologically plausible scheme for probabilistic inference on the hidden
states of hierarchical dynamical models. The resulting scheme generates realistic MMN waveforms, explains the qualitative
effects of deviant probability and magnitude on the MMN – in terms of latency and amplitude – and makes quantitative
predictions about the interactions between deviant probability and magnitude. This work advances a formal understanding
of the MMN and – more generally – illustrates the potential for developing computationally informed dynamic causal
models of empirical electromagnetic responses.</t>
  </si>
  <si>
    <t>From Garrido lit</t>
  </si>
  <si>
    <t>record incomplete: no authors, title or method in the database</t>
  </si>
  <si>
    <t>hu2014human</t>
  </si>
  <si>
    <t>Hu, L and Cai, MM and Xiao, P and Luo, F and Iannetti, GD</t>
  </si>
  <si>
    <t>Human brain responses to concomitant stimulation of A$\delta$ and C nociceptors</t>
  </si>
  <si>
    <t xml:space="preserve">VP using somatosensory stimuli depends on the physical properties of the sensory stimuli (in this case, different somatosensory stimuli can activate different receptor classes, associated to different nerve fibres and therefore different conduction velocities. </t>
  </si>
  <si>
    <t>concomitant A-delta and C stimulation</t>
  </si>
  <si>
    <t>kawato1987hierarchical</t>
  </si>
  <si>
    <t>Kawato, Mitsuo and Furukawa, Kazunori and Suzuki, Ryoji</t>
  </si>
  <si>
    <t>A hierarchical neural-network model for control and learning of voluntary movement</t>
  </si>
  <si>
    <t>Motor control</t>
  </si>
  <si>
    <t>Hierarchical internal models, to explore</t>
  </si>
  <si>
    <t>Motor Control</t>
  </si>
  <si>
    <t>model / theory</t>
  </si>
  <si>
    <t>wolpert1998internal</t>
  </si>
  <si>
    <t>Wolpert, Daniel M and Miall, R Chris and Kawato, Mitsuo</t>
  </si>
  <si>
    <t>Internal models in the cerebellum</t>
  </si>
  <si>
    <t>wolpert1998multiple</t>
  </si>
  <si>
    <t>Wolpert, Daniel M and Kawato, Mitsuo</t>
  </si>
  <si>
    <t>Multiple paired forward and inverse models for motor control</t>
  </si>
  <si>
    <t>kawato1999internal</t>
  </si>
  <si>
    <t>Kawato, Mitsuo</t>
  </si>
  <si>
    <t>Internal models for motor control and trajectory planning</t>
  </si>
  <si>
    <t>Present neural basis for an internal model representation of the relationship between the physical environment and either the sensory detectors or the motor apparatus</t>
  </si>
  <si>
    <t>uno1989formation</t>
  </si>
  <si>
    <t>Uno, Yoji and Kawato, Mitsuo and Suzuki, Rika</t>
  </si>
  <si>
    <t>Formation and control of optimal trajectory in human multijoint arm movement</t>
  </si>
  <si>
    <t>Check, seems relevant for the actual tracking task (arm movements)</t>
  </si>
  <si>
    <t>wolpert2003unifying</t>
  </si>
  <si>
    <t>Wolpert, Daniel M and Doya, Kenji and Kawato, Mitsuo</t>
  </si>
  <si>
    <t>A unifying computational framework for motor control and social interaction</t>
  </si>
  <si>
    <t>wickens1983compatibility</t>
  </si>
  <si>
    <t>Wickens, Christopher D and Sandry, Diane L and Vidulich, Michael</t>
  </si>
  <si>
    <t>Compatibility and resource competition between modalities of input, central processing, and output</t>
  </si>
  <si>
    <t>Sensory attenuation</t>
  </si>
  <si>
    <t>Human factors</t>
  </si>
  <si>
    <t>Post UK Sensorimotor conference: sensory attenuation, relation of attention and processing resources competition. Relevant for the tracking specially</t>
  </si>
  <si>
    <t>Tracking</t>
  </si>
  <si>
    <t>resource competition between input modalities; one of the few designs that puts load on the x1 axis on purpose</t>
  </si>
  <si>
    <t>zink2016mobile</t>
  </si>
  <si>
    <t>Zink, Rob and Hunyadi, Borbàla and Huffel, Sabine Van and Vos, Maarten De</t>
  </si>
  <si>
    <t>Mobile EEG on the bike: disentangling attentional and physical contributions to auditory attention tasks</t>
  </si>
  <si>
    <t>Explore re-allocation of attentional resources during more demanding movements than isometric tasks, showing that attention to targets is reduced when human participants walk compared to when they stand still.</t>
  </si>
  <si>
    <t>Journal of neural engineering</t>
  </si>
  <si>
    <t xml:space="preserve">Post UK Sensorimotor conference: sensory attenuation, relation of attention and processing resources competition. Relevant for the tracking specially. They show that 1) Exp 1: walking reduces P300 vs standing → attention is reduced during locomotion; 2) Exp 2: treadmill walking does not reduce P300 as much as hallway walking or being wheeled → the motor act of walking is not the driver; environmental traversal is; 3) Exp 3: visual flow (optic flow) and inertial stimulation (vestibular/proprioceptive) are dissociable, independent, and their effects on P300 reduction sum linearly and additively to fully account for the hallway walking effect. </t>
  </si>
  <si>
    <t>auditory oddball while cycling outdoors and while standing. This is the closest the corpus comes to manipulating engagement (claim C1) - see report</t>
  </si>
  <si>
    <t>polich2007updating</t>
  </si>
  <si>
    <t>Polich, John</t>
  </si>
  <si>
    <t>Updating P300: an integrative theory of P3a and P3b</t>
  </si>
  <si>
    <t>Review on P300 and its inhibition</t>
  </si>
  <si>
    <t>Neuroinhibition is suggested as an overarching theoretical mechanism for P300, which is elicited when stimulus detection engages memory operations.</t>
  </si>
  <si>
    <t>clark2013whatever</t>
  </si>
  <si>
    <t>Clark, Andy</t>
  </si>
  <si>
    <t>Whatever next? Predictive brains, situated agents, and the future of cognitive science</t>
  </si>
  <si>
    <t>theory</t>
  </si>
  <si>
    <t>friston2005theory</t>
  </si>
  <si>
    <t>Friston, Karl</t>
  </si>
  <si>
    <t>A theory of cortical responses</t>
  </si>
  <si>
    <t>Canonical source for precision weighting as the computational substrate of attention</t>
  </si>
  <si>
    <t>Biological Sciences</t>
  </si>
  <si>
    <t xml:space="preserve">Seems really relevant for the purpose of finding a foundation underlying the attenuation, the final focus of this article is on perceptual learning as
measured with the MMN and the implications for empirical studies of coupling among cortical areas using evoked sensory responses. They assess the theoretical explanation of further phenomenon such as MMN, repetition suppression, or the P300 effect. </t>
  </si>
  <si>
    <t>auksztulewicz2016repetition</t>
  </si>
  <si>
    <t>Auksztulewicz, Ryszard and Friston, Karl</t>
  </si>
  <si>
    <t>Repetition suppression and its contextual determinants in predictive coding</t>
  </si>
  <si>
    <t>This paper presents a review of theoretical and empirical work on repetition suppression in the context of predictive coding</t>
  </si>
  <si>
    <t>From predictive coding perspectives, repetition suppression is a manifestation of minimising prediction error through adaptive changes in predictions about the content and precision of sensory inputs. There's a whole section on precision modulation (Since prediction errors are weighted by their expected precision, changing precision at various levels of the cortical hierarchy should modulate repetition suppression effects.)</t>
  </si>
  <si>
    <t>mouraux2018search</t>
  </si>
  <si>
    <t>The search for pain biomarkers in the human brain</t>
  </si>
  <si>
    <t>Reviews the search for brain-based pain biomarkers.</t>
  </si>
  <si>
    <t>Brain</t>
  </si>
  <si>
    <t>kahneman1973attention</t>
  </si>
  <si>
    <t>Kahneman</t>
  </si>
  <si>
    <t>Attention and effort</t>
  </si>
  <si>
    <t>competing demands reduce neural responses to probes, and it fits the results from the the whole article set of sensory attenuation</t>
  </si>
  <si>
    <t>Clark</t>
  </si>
  <si>
    <t>Conceptual synthesis of predictive processing</t>
  </si>
  <si>
    <t>Influential synthesis casting the brain as a hierarchical prediction machine; frames predictive processing for cognitive science.</t>
  </si>
  <si>
    <t>Behavioral and Brain Sciences</t>
  </si>
  <si>
    <t>https://doi.org/10.1017/S0140525X12000477</t>
  </si>
  <si>
    <t>clark2018nice</t>
  </si>
  <si>
    <t>A nice surprise? Predictive processing and the active pursuit of novelty</t>
  </si>
  <si>
    <t>Reconciles novelty-seeking with predictive processing and free-energy accounts.</t>
  </si>
  <si>
    <t>Phenomenology and the Cognitive Sciences</t>
  </si>
  <si>
    <t>krasovskaya2019salience</t>
  </si>
  <si>
    <t>Krasovskaya &amp; MacInnes</t>
  </si>
  <si>
    <t>Salience models: A computational cognitive neuroscience review</t>
  </si>
  <si>
    <t>Reviews computational cognitive-neuroscience models of salience.</t>
  </si>
  <si>
    <t>Vision</t>
  </si>
  <si>
    <t>cos2014rapid</t>
  </si>
  <si>
    <t>Cos, Duque &amp; Cisek</t>
  </si>
  <si>
    <t>Rapid prediction of biomechanical costs during action decisions</t>
  </si>
  <si>
    <t>Shows biomechanical costs are predicted rapidly enough to inform action decisions.</t>
  </si>
  <si>
    <t>as cos2011, timing of the biomechanical prediction</t>
  </si>
  <si>
    <t>buneo2006posterior</t>
  </si>
  <si>
    <t>Buneo, Christopher A and Andersen, Richard A</t>
  </si>
  <si>
    <t>The posterior parietal cortex: sensorimotor interface for the planning and online control of visually guided movements</t>
  </si>
  <si>
    <t xml:space="preserve">They argue and prove that The PPC maintains eye- and hand-centred estimates of target and current hand position and maps them to a motor-error representation </t>
  </si>
  <si>
    <t>Overall these studies point to the emerging view that, for arm movements, the PPC plays a role not only in
the inverse transformations required to convert sensory information into motor commands but also in ‘forward’ transformations as well, i.e. in
integrating sensory input with previous and ongoing motor commands to maintain a continuous estimate of arm state that can be used to update
present and future movement plans. Posterior parietal cortex as sensorimotor interface</t>
  </si>
  <si>
    <t>kandel2000principles</t>
  </si>
  <si>
    <t>Kandel, Eric R and Schwartz, James H and Jessell, Thomas M and Siegelbaum, Steven and Hudspeth, A James and Mack, Sarah and others</t>
  </si>
  <si>
    <t>Principles of neural science</t>
  </si>
  <si>
    <t>Foundations book on neuroscience, it has the basics and principles</t>
  </si>
  <si>
    <t>McGraw-hill New York</t>
  </si>
  <si>
    <t>Full of basic/need to know, from neuroscience. For instance, for neural correlates: The central nervous system is a bilateral and essentially symmetrical structure with two main parts, the spinal cord and the brain. The brain comprises seven major structures: the medulla oblongata, pons, cerebellum, midbrain, diencephalon, and cerebrum. The cerebellum modulates the force and range of movement and is involved in the learning of motor skills. Hence, the cerebellum is one of the areas involved in the motor tracking module, however, let's conduct a further exploration on the different areas of the brain. The cerebrum comprises two cerebral hemispheres, each consisting of a heavily wrinkled outer layer (the cerebral cortex) and three deep-lying structures (the basal ganglia, the hippocampus, and the amygdaloid nuclei). The cerebral cortex is divided into four distinct lobes: frontal, parietal, occipital, and temporal. The basal ganglia participate in regulating motor performance; the hippocampus is involved with aspects of memory storage; and the amygdaloid nuclei coordinate the autonomic and endocrine responses of emotional states.</t>
  </si>
  <si>
    <t>novembre2019effect</t>
  </si>
  <si>
    <t>The effect of salient stimuli on neural oscillations, isometric force, and their coupling</t>
  </si>
  <si>
    <t>EEG + force</t>
  </si>
  <si>
    <t>NeuroImage</t>
  </si>
  <si>
    <t>Read, to print</t>
  </si>
  <si>
    <t>doya2000complementary</t>
  </si>
  <si>
    <t>Doya, Kenji</t>
  </si>
  <si>
    <t>Complementary roles of basal ganglia and cerebellum in learning and motor control</t>
  </si>
  <si>
    <t xml:space="preserve">The basal ganglia contribute by monitoring the progress of action sequences and facilitating smooth transitions between movement components </t>
  </si>
  <si>
    <t xml:space="preserve">discuss the basal ganglia and cerebellum roles in motor tasks. From a computational viewpoint, it has been suggested that the cerebellum, the basal ganglia, and the cerebral cortex are specialized for different types of learning: namely, supervised learning, reinforcement learning and unsupervised learning, respectively. This idea of learning- oriented specialization is helpful in understanding the complementary roles of the basal ganglia and the cerebellum in motor control and cognitive functions. This distribution of labour (cerebellum for supervised forward prediction, basal ganglia for reinforcement-based sequencing, cortex for unsupervised representation) mirrors the learning-oriented specialisation. </t>
  </si>
  <si>
    <t>angelaki_neurons_2004</t>
  </si>
  <si>
    <t>Angelaki, Dora E. and Shaikh, Aasef G. and Green, Andrea M. and Dickman, J. David</t>
  </si>
  <si>
    <t>Neurons compute internal models of the physical laws of motion</t>
  </si>
  <si>
    <t>They present evidence supporting that subcortical neural populations might provide a distributed solution to the inertial motion detection problem (vestibular system, Andrea loved this topic)</t>
  </si>
  <si>
    <t>Using new stimulus combinations, they identify here cerebellar and brainstem motion-sensitive neurons that compute a solution to the inertial motion detection problem. We show that the firing rates of these populations of neurons reflect the computations necessary to construct an internal model representation of the physical equations of motion</t>
  </si>
  <si>
    <t>passive vestibular stimulus combinations, NHP</t>
  </si>
  <si>
    <t>novembre2021towards</t>
  </si>
  <si>
    <t>Novembre &amp; Iannetti</t>
  </si>
  <si>
    <t>Towards a unified neural mechanism for reactive adaptive behaviour</t>
  </si>
  <si>
    <t xml:space="preserve">Presents a review over Reactive Adaptive Behaviour (RAD), and how it has evolved in parallel over different research areas. They describe 4 different types of RAB: (1) cortico-muscular resonance (CMR), i.e. modulation of muscular activity evoked by sudden sensory multimodal stimuli  (here, similar to the one in our project with the kinematic disruption, also cited Novembers); (2) stimulus locked response (specially visual experiments, (3) online motor correction (Paul's, Ignasi and cesar kinda experiments of perturbations within task-relevant modalities, i.e. changing target, kinematic disruptions) and (4) action stopping (stop-go paradigms). </t>
  </si>
  <si>
    <t>haggard_human_2008</t>
  </si>
  <si>
    <t>Haggard, Patrick</t>
  </si>
  <si>
    <t>Human volition: towards a neuroscience of will</t>
  </si>
  <si>
    <t>Review on voluntary actions and volition</t>
  </si>
  <si>
    <t>They discuss the role of pre-supplementary motor area, the anterior prefrontal cortex and the parietal cortex, underlying voluntary action. Also discuss volition: consists of a series of decisions regarding whether to act, what
action to perform and when to perform it</t>
  </si>
  <si>
    <t>friston_anatomy_2013</t>
  </si>
  <si>
    <t>Friston, Karl and Schwartenbeck, Philipp and FitzGerald, Thomas and Moutoussis, Michael and Behrens, Timothy and Dolan, Raymond J</t>
  </si>
  <si>
    <t>The anatomy of choice: active inference and agency</t>
  </si>
  <si>
    <t>This paper considers agency in the setting of embodied or active inference. In brief,
we associate a sense of agency with prior beliefs about action and ask what sorts
of beliefs underlie optimal behavior</t>
  </si>
  <si>
    <t>Important for the agency link with Haggard and active inference</t>
  </si>
  <si>
    <t>ferrier1873experimental</t>
  </si>
  <si>
    <t>Ferrier, David</t>
  </si>
  <si>
    <t>Experimental researches in cerebral physiology and pathology</t>
  </si>
  <si>
    <t>Non-human primate/dogs</t>
  </si>
  <si>
    <t xml:space="preserve">Shows electrical stimulation evokes coordinated arm movements toward spatial postures. First muscle activation map to repertoire of movements. </t>
  </si>
  <si>
    <t>British medical journal</t>
  </si>
  <si>
    <t>Ferrier (1873) replicated the results from Fritsch and Hitzig’s initial discovery of motor cortex and extended them from dogs
to cats, rabbits, and guinea pigs, though he was unable to evoke movements
from the brains of birds, complaining that they were too soft and oozed when
stimulated. In Ferrier’s view (1873, 1874), the shorter stimulation missed essential
movements,</t>
  </si>
  <si>
    <t>stimulation mapping (R6)</t>
  </si>
  <si>
    <t>hitzig1900hughlings</t>
  </si>
  <si>
    <t>Hitzig, Eduard</t>
  </si>
  <si>
    <t>Hughlings Jackson and the cortical motor centres in the light of physiological research: being the second hughlings jackson lecture delivered before the neurological society of London</t>
  </si>
  <si>
    <t>Critic to the contemporany scientists on the motor cortex (he was first humuncuus promotor)</t>
  </si>
  <si>
    <t>scientists form “an army that knows no separation into different camps . . . in the battle against ignorance". In Hitzig’s view (1900) the longer stimulation evoked
seizures and therefore produced artifactual results</t>
  </si>
  <si>
    <t>ferrier1875experiments</t>
  </si>
  <si>
    <t>Experiments on the brain of monkeys</t>
  </si>
  <si>
    <t>fritsch1870electrical</t>
  </si>
  <si>
    <t>Fritsch, Gustav and Hitzig, Eduard</t>
  </si>
  <si>
    <t>On the electrical excitability of the cerebrum</t>
  </si>
  <si>
    <t>First homunculus on dogs</t>
  </si>
  <si>
    <t>Fritsch and Hitzig’s initial discovery of motor cortex</t>
  </si>
  <si>
    <t>beevor1887vi</t>
  </si>
  <si>
    <t>Beevor, Charles E and Horsley, Victor Alexander Haden</t>
  </si>
  <si>
    <t>A minute analysis (experiments) of the various movements produced by stimulating in the monkey different regions of the cortical centre for the upper limb, as defined by Professor Ferrier</t>
  </si>
  <si>
    <t xml:space="preserve">Study focusing on the arm and hand representation in the monkey motor cortex, based on Ferrier's 1873. They outlined a cortical map that was not merely a plan of the body’s muscles but was an arrangement of useful movements. It was the last study on this topic (examine the topographic mapping of complex actions on the motor cortex) before Grazziano's study in 2005. They showed that stimulation of the lower or ventral part of the arm representation tended to evoke movements consistent with bringing an object toward the body, especially toward the mouth for feeding. </t>
  </si>
  <si>
    <t>beevor1890iii</t>
  </si>
  <si>
    <t>An experimental investigation into the arrangement of the excitable fibres of the internal capsule of the bonnet monkey (macacus sinicus)</t>
  </si>
  <si>
    <t xml:space="preserve">This experiment represented a move toward a “muscles” view of motor cortex function and away from a “movements” view. This view of motor cortex was radically different from the view presented
in their earlier (Beevor and Horsley, 1887) paper or proposed by Ferrier (1874). They propose instead that there are no motor centers and the function of motor cortex was defined by its descending connections to the spinal cord. This view dominated neuroscience untel grazziano again. </t>
  </si>
  <si>
    <t>todd1849pathology</t>
  </si>
  <si>
    <t>Todd, Robert Bentley</t>
  </si>
  <si>
    <t>On the pathology and treatment of convulsive diseases.</t>
  </si>
  <si>
    <t>First stimulation study on the cortex to study the underlying mechanisms of movements</t>
  </si>
  <si>
    <t>Todd (1849) attempted to define the brain regions that caused epilepsy. His evidence for midbrain involvement was that, when
he electrically stimulated the midbrains of rabbits, he evoked general convul-
sions that resembled epilepsy. odd suggested a
three-part mechanism: malfunction of the cerebral cortex was responsible
solely for the loss of consciousness and higher mental functions during epilepsy;
malfunction of the midbrain was responsible for the motoric convulsions; and
malfunction of the spinal cord and medulla was uncommon and resulted in
sustained muscle contractions rather than epileptic seizures. Todd came remarkably close to deducing the motor functions of the cortex.</t>
  </si>
  <si>
    <t>clinical / lesion series (R6)</t>
  </si>
  <si>
    <t>broca1861remarks</t>
  </si>
  <si>
    <t>Broca, Paul and others</t>
  </si>
  <si>
    <t>Remarks on the seat of the faculty of articulated language, following an observation of aphemia (loss of speech)</t>
  </si>
  <si>
    <t>Autopsy</t>
  </si>
  <si>
    <t>Studies on Tan (human with loss of speech)</t>
  </si>
  <si>
    <t xml:space="preserve">Broca examined the autopsy from Tan's brain once he died from an infection, and he noticed that the left frontal lobe was badly degenerated with a focus of degeneration in the third frontal convolution, now commonly known as Broca’s area. He was really close to deducing the motor map, sicne he willing to infer that at least one function, speech, was localized to a region of the cerebral cortex. Yet in his words, “Everybody knows that the cerebral convolutions are not motor organs.", which kept him from making stronger claims and challenge his contemporaneous researchers. </t>
  </si>
  <si>
    <t>autopsy case study (R6)</t>
  </si>
  <si>
    <t>jackson1890convulsive</t>
  </si>
  <si>
    <t>Jackson, John Hughlings</t>
  </si>
  <si>
    <t>On convulsive seizures</t>
  </si>
  <si>
    <t>Studies on epileptic humans. He claimed control of movement could be divided into three levels
that corresponded to three stages in animal evolution</t>
  </si>
  <si>
    <t>Jackson claimed control of movement could be divided into three levels
that corresponded to three stages in animal evolution. The lowest level of motor
control was subcortical, controlling the simplest elements of movement. The
middle level lay in the motor cortex of Fritsch and Hitzig, controlling move-
ment in an integrated and complex fashion. The highest level lay in the pre-
frontal cortex, controlling movement in the most abstract sense of will or
thought. Epileptic seizures of the highest level caused a loss of consciousness;
seizures at the middle level caused muscular convulsions; seizures at the
lowest level normally did not occur and artifi cial stimulation here caused
sustained contractions.</t>
  </si>
  <si>
    <t>jackson1870study</t>
  </si>
  <si>
    <t>A study of convulsions</t>
  </si>
  <si>
    <t xml:space="preserve">Studies on epiletpic humans. He formulated one general principle of brain organization that behaviorally important functions have physically larger representations. He also deduced that the brain contained different centers for the control of different body parts. </t>
  </si>
  <si>
    <t>Jackson implied that the partial seizures, being simpler, were probably
caused by the striatum, whereas the global seizures, being more complex, may
have been caused by the cortex. Jackson described damage
to the cerebral cortex, not to the striatum; yet he seemed unable to let go of
the idea that the cortex was too complex a structure for the control of a body
part. He formulated one general principle of brain organization that behaviorally important functions have physically larger representations.</t>
  </si>
  <si>
    <t>jackson1875anatomical</t>
  </si>
  <si>
    <t>ON THE ANATOMICAL \&amp; PHYSIOLOGICAL LOCALISATION OF MOVEMENTS IN THE BRAIN</t>
  </si>
  <si>
    <t>Studies on epileptic humans. He did not accomplish to deduce the cortex mapping.</t>
  </si>
  <si>
    <t xml:space="preserve">Jackson, therefore, failed totally to appreciate the true reason for the
progression of partial seizures across the body, namely the spread of an epilep-
tic storm across a map of the body in the cortex, even after the first cortex mapping published by fritsch1870. </t>
  </si>
  <si>
    <t>sherrington1925remarks</t>
  </si>
  <si>
    <t>Sherrington, Charles Scott</t>
  </si>
  <si>
    <t>Remarks on some aspects of reflex inhibition</t>
  </si>
  <si>
    <t>Reflex inhibition theory (check)</t>
  </si>
  <si>
    <t>Reference of the reflex framework, to explore still</t>
  </si>
  <si>
    <t>After tracking presentation</t>
  </si>
  <si>
    <t>reduced preparation, no task</t>
  </si>
  <si>
    <t>sherrington1939motor</t>
  </si>
  <si>
    <t>Sherrington, CS</t>
  </si>
  <si>
    <t>On the motor area of the cerebral cortex</t>
  </si>
  <si>
    <t xml:space="preserve">performed a set of unusually revealing lesion experiment, revealing that other areas of the cortex were involved in voluntary movements. </t>
  </si>
  <si>
    <t>suggested that the motor cortex as understood at the time must not
be the only area of cortex capable of controlling voluntary movement. In effect,
Sherrington had provided evidence that the cortex probably contained more
than one motor area, and that the others were yet to be discovered.</t>
  </si>
  <si>
    <t>lesion series (R6)</t>
  </si>
  <si>
    <t>liddell1924reflexes</t>
  </si>
  <si>
    <t>Liddell, Edward George Tandy and Sherrington, Charles Scott</t>
  </si>
  <si>
    <t>Reflexes in response to stretch (myotatic reflexes)</t>
  </si>
  <si>
    <t>duque2009role</t>
  </si>
  <si>
    <t>Duque, Julie and Ivry, Richard B</t>
  </si>
  <si>
    <t>Role of corticospinal suppression during motor preparation</t>
  </si>
  <si>
    <t>TMS experiment to show that corticospinal CS suppression seems to arise from “impulse control” mechanisms that ensure that responses associated with potentially selected actions are not initiated prematurely.</t>
  </si>
  <si>
    <t>Behavior arises from a constant competition between potential actions. Corticospinal (CS) excitability of the nonselected hand is typically decreased prior to movement initiation, suggesting that response selection may involve mechanisms that inhibit nonselected candidate movements. To examine this hypothesis, participants performed a reaction time task, responding with the left, right, or both indexes. Transcranial magnetic stimulation was applied over the right primary motor cortex (M1) to induce motor-evoked potentials (MEPs) in a left hand muscle at various stages during response preparation. To vary the time of response selection, an imperative signal was preceded by a preparatory cue that was either informative or uninformative. Left MEPs decreased following the cue. Surprisingly, this decrease was greater when an informative cue indicated that the response might require the left hand than when it indicated a right hand response. In the uninformative condition, we did not observe additional attenuation of left MEP after an imperative indicating a right hand response. These results argue against the “deselection” hypothesis. Rather, CS suppression seems to arise from “impulse control” mechanisms that ensure that responses associated with potentially selected actions are not initiated prematurely.</t>
  </si>
  <si>
    <t>TMS during preparation of a cued choice; cue is imperative, R1</t>
  </si>
  <si>
    <t>derosiere2020advanced</t>
  </si>
  <si>
    <t>Derosiere, Gerard and Vassiliadis, Pierre and Duque, Julie</t>
  </si>
  <si>
    <t>Advanced TMS approaches to probe corticospinal excitability during action preparation</t>
  </si>
  <si>
    <t>The aim of the present review is to provide a comprehensive description of these advanced methods and to discuss the new
knowledge they give access to, relative to other existing approaches.</t>
  </si>
  <si>
    <t>TMS review</t>
  </si>
  <si>
    <t>cisekGreen_2024</t>
  </si>
  <si>
    <t>Cisek, Paul and Green, Andrea M.</t>
  </si>
  <si>
    <t>Toward a neuroscience of natural behavior</t>
  </si>
  <si>
    <t>Review on techniques and experimental methods towards naturalistic behaviour research</t>
  </si>
  <si>
    <t>One of the most exciting new developments in systems neuroscience is the progress being made toward neurophysiological experiments that move beyond simplified laboratory settings and address the richness of natural behavior. This is enabled by technological advances such as wireless recording in freely moving animals, automated quantification of behavior, and new methods for analyzing large data sets. Beyond new empirical methods and data, however, there is also a need for new theories and concepts to interpret that data. Such theories need to address the particular challenges of natural behavior, which often differ significantly from the scenarios studied in traditional laboratory settings. Here, we discuss some strategies for developing such novel theories and concepts and some example hypotheses being proposed. FINISH READING</t>
  </si>
  <si>
    <t>Mountcastle et al.</t>
  </si>
  <si>
    <t>Reference of parallel nature of cortical circuits, and the notion that motor commands are encoded by distributed brain systems (check both)</t>
  </si>
  <si>
    <t>record incomplete</t>
  </si>
  <si>
    <t>Mountcastle</t>
  </si>
  <si>
    <t>Caminiti et al.</t>
  </si>
  <si>
    <t>The Complex Hodological Architecture of the Macaque Dorsal Intraparietal Areas as Emerging from Neural Tracers and DW-MRI Tractography.</t>
  </si>
  <si>
    <t>Criteria for labelling the cortical areas and their connectivity</t>
  </si>
  <si>
    <t>Connectivity of cortical areas (definition of clusters and modules as used in bufacchi 2023 (cortico..).</t>
  </si>
  <si>
    <t>tractography / anatomy</t>
  </si>
  <si>
    <t>modirshanechi2022taxonomy</t>
  </si>
  <si>
    <t>Modirshanechi, Brea &amp; Gerstner</t>
  </si>
  <si>
    <t>A taxonomy of surprise definitions</t>
  </si>
  <si>
    <t>Provides a formal taxonomy of surprise definitions.</t>
  </si>
  <si>
    <t>Journal of mathematical psychology</t>
  </si>
  <si>
    <t>Recommended for the actual assessment of definitions</t>
  </si>
  <si>
    <t>capozio_effect_2021</t>
  </si>
  <si>
    <t>Capozio, Antonio and Chakrabarty, Samit and Astill, Sarah</t>
  </si>
  <si>
    <t>The Effect of Sound and Stimulus Expectation on Transcranial Magnetic Stimulation‑Elicited Motor Evoked Potentials</t>
  </si>
  <si>
    <t>MEP</t>
  </si>
  <si>
    <t>TMS delivery is accompanied by an abrupt clicking noise which can induce a startle
response. This study investigated how masking/attenuating the sound produced by the TMS system discharging influences
MEP amplitudes</t>
  </si>
  <si>
    <t>Brain Topography</t>
  </si>
  <si>
    <t>TMS delivery is accompanied by an abrupt clicking noise which can induce a startle response. This study investigated how masking/attenuating the sound produced by the TMS system discharging influences MEP amplitudes. They showed that masking and attenuating the incoming sound significantly reduced the amplitude of MEPs recorded across the intensities of stimulation</t>
  </si>
  <si>
    <t>TMS coil click as the unexpected event; relaxed muscle, so y=0. r=0.5 because the click is time-locked to the pulse the experiment is about</t>
  </si>
  <si>
    <t>friston2015active</t>
  </si>
  <si>
    <t>Friston, Karl and Rigoli, Francesco and Ognibene, Dimitri and Mathys, Christoph and Fitzgerald, Thomas and Pezzulo, Giovanni</t>
  </si>
  <si>
    <t>Active inference and epistemic value</t>
  </si>
  <si>
    <t>Argues adaptive behaviour in terms of epistemic and extrinsic values in which the free energy decomposes</t>
  </si>
  <si>
    <t>Cognitive neuroscience</t>
  </si>
  <si>
    <t>We offer a formal treatment of choice behavior based on the premise that agents minimize the expected free energy of future outcomes. Crucially, the negative free energy or quality of a policy can be decomposed into extrinsic and epistemic (or intrinsic) value. Minimizing expected free energy is therefore equivalent to maximizing extrinsic value or expected utility (defined in terms of prior preferences or goals), while maximizing information gain or intrinsic value (or reducing uncertainty about the causes of valuable outcomes). The resulting scheme resolves the exploration-exploitation dilemma: Epistemic value is maximized until there is no further information gain, after which exploitation is assured through maximization of extrinsic value. This is formally consistent with the Infomax principle, generalizing formulations of active vision based upon salience (Bayesian surprise) and optimal decisions based on expected utility and risk-sensitive (Kullback-Leibler) control. Furthermore, as with previous active inference formulations of discrete (Markovian) problems, ad hoc softmax parameters become the expected (Bayes-optimal) precision of beliefs about, or confidence in, policies. This article focuses on the basic theory, illustrating the ideas with simulations. A key aspect of these simulations is the similarity between precision updates and dopaminergic discharges observed in conditioning paradigms.</t>
  </si>
  <si>
    <t>sechenov1965reflexes</t>
  </si>
  <si>
    <t>Sechenov, Ivan M.</t>
  </si>
  <si>
    <t>Reflexes of the Brain</t>
  </si>
  <si>
    <t>All the infinite diversity of the external manifestations of brain activity is ultimately reduced to a single phenomenon—muscular movement</t>
  </si>
  <si>
    <t>book</t>
  </si>
  <si>
    <t>modirshanechi2023surprise</t>
  </si>
  <si>
    <t>Modirshanechi et al.</t>
  </si>
  <si>
    <t>Surprise and novelty in the brain</t>
  </si>
  <si>
    <t>Reviews how surprise and novelty are represented in the brain.</t>
  </si>
  <si>
    <t>modirshanechi2023curiosity</t>
  </si>
  <si>
    <t>Curiosity-driven exploration: foundations in neuroscience and computational modeling</t>
  </si>
  <si>
    <t>Reviews neuroscience and computational foundations of curiosity-driven exploration.</t>
  </si>
  <si>
    <t>schwartz2013mapping</t>
  </si>
  <si>
    <t>Schwartz, Yannick and Thirion, Bertrand and Varoquaux, Ga{\"e}l</t>
  </si>
  <si>
    <t>Mapping paradigm ontologies to and from the brain</t>
  </si>
  <si>
    <t>Revies</t>
  </si>
  <si>
    <t>Cognitive ontologies / paradigm ontologies, where researchers try to organize experimental tasks and psychological constructs. For fMRI</t>
  </si>
  <si>
    <t>discussion</t>
  </si>
  <si>
    <t>introduce a paradigm ontology to relate experimental paradigms to patterns of brain activity. However, the mapping is Paradigm → Cognitive ontology → Brain activation, not Paradigm → Computational explanation. They introduce a methodology for accumulating knowledge towards a bidirectional link between observed brain activity and the corresponding function. For fMRI</t>
  </si>
  <si>
    <t>Similar review approaches</t>
  </si>
  <si>
    <t>beam2021data</t>
  </si>
  <si>
    <t>Beam, Elizabeth and Potts, Christopher and Poldrack, Russell A and Etkin, Amit</t>
  </si>
  <si>
    <t>A data-driven framework for mapping domains of human neurobiology</t>
  </si>
  <si>
    <t>They use thousands of neuroimaging papers to construct a data-driven ontology of neuroscience. Their goal is organizing the literature and brain functions, not characterizing the computational mechanisms required by paradigms. Visualizations are amazing and python code is on github</t>
  </si>
  <si>
    <t>The data-driven framework partitions the neuroimaging literature into modular subfields, for which domains are generalizable representations of brain circuits and mental functions</t>
  </si>
  <si>
    <t>kriegeskorte2018cognitive</t>
  </si>
  <si>
    <t>Kriegeskorte, Nikolaus and Douglas, Pamela K</t>
  </si>
  <si>
    <t>Cognitive computational neuroscience</t>
  </si>
  <si>
    <t>Review of review recent work in the intersection of cognitive science, computational neuroscience and artificial intelligence.</t>
  </si>
  <si>
    <t>More concepts, really interesting, considers definition of term models, and links cognitive science, computational neuroscience and AI and how they are related. They argue that computational models should be evaluated through carefully designed tasks and neural data. Their philosophy is very compatible with yours, but they do not formalize a "space of paradigms" nor a mapping into computational spaces.</t>
  </si>
  <si>
    <t>liu2026researchbench</t>
  </si>
  <si>
    <t>Liu, Yujie and Yang, Zonglin and Xie, Tong and Ni, Jinjie and Gao, Ben and Li, Yuqiang and Tang, Shixiang and Ouyang, Wanli and Cambria, Erik and Zhou, Dongzhan</t>
  </si>
  <si>
    <t>Researchbench: Benchmarking llms in scientific discovery via inspiration-based task decomposition</t>
  </si>
  <si>
    <t>LLM Computational method</t>
  </si>
  <si>
    <t xml:space="preserve">LLM for scientific discovery suggested from Fabio after the talk about the paradigm space. </t>
  </si>
  <si>
    <t>Findings of the Association for Computational Linguistics: ACL 2026</t>
  </si>
  <si>
    <t xml:space="preserve">Suggested by Fabio, regarding the preliminar conversation about the "Paradigm Space" idea. </t>
  </si>
  <si>
    <t>RL</t>
  </si>
  <si>
    <t>Jan R Wessel, Adam R Aron</t>
  </si>
  <si>
    <t>On the Globality of Motor Suppression: Unexpected Events and Their Influence on Behavior and Cognition</t>
  </si>
  <si>
    <t>To read fully</t>
  </si>
  <si>
    <t>Unexpected events are part of everyday experience. They come in several varieties-action errors, unexpected action outcomes, and unexpected perceptual events-and they lead to motor slowing and cognitive distraction. While different varieties of unexpected events have been studied largely independently, and many different mechanisms are thought to explain their effects on action and cognition, we suggest a unifying theory. We propose that unexpected events recruit a fronto-basal-ganglia network for stopping. This network includes specific prefrontal cortical nodes and is posited to project to the subthalamic nucleus, with a putative global suppressive effect on basal-ganglia output. We argue that unexpected events interrupt action and impact cognition, partly at least, by recruiting this global suppressive network. This provides a common mechanistic basis for different types of unexpected events; links the literatures on motor inhibition, performance monitoring, attention, and working memory; and is relevant for understanding clinical symptoms of distractibility and mental inflexibility.</t>
  </si>
  <si>
    <t xml:space="preserve">Pubmed search for "unexpected events motor control". Also under the Action Stopping section in GDI review on RAB.  </t>
  </si>
  <si>
    <t>Alexandra Sebastian, Anne Maria Konken, Michael Schaum, Klaus Lieb , Oliver Tüscher, Patrick Jung</t>
  </si>
  <si>
    <t>Surprise: Unexpected Action Execution and Unexpected Inhibition Recruit the Same Fronto-Basal-Ganglia Network</t>
  </si>
  <si>
    <t>cue-informed go/nogo task comprising expected and unexpected action and inhibition trials during fMRI</t>
  </si>
  <si>
    <t>conjunction, contrast, and Bayesian analyses</t>
  </si>
  <si>
    <t>unexpected action elicited by an unexpected go signal and unexpected inhibition elicited by an unexpected nogo signal recruited the same fronto-basal-ganglia network which is usually assigned to stopping</t>
  </si>
  <si>
    <t>This is the first study using functional magnetic resonance imaging (fMRI) to test whether unexpected events regardless of whether they require unexpected action (go signal) or inhibition (no-go) recruit a fronto-basal-ganglia network just like stopping. In contrast to previous studies, they used identical stimulus material for both conditions within one task. This enabled them to directly test predictions of the current theory of unexpected events and, moreover, to test for condition-specific neural signatures. The present results underpin that both processes recruit the same neural network while excluding alternative task and novelty effects. The simple task design thus provides an avenue to studying surprise as a pure form of reactive inhibition in neuropsychiatric patients displaying inhibitory deficits who often have a limited testing capacity.</t>
  </si>
  <si>
    <t>Unexpected and thus surprising events are omnipresent and oftentimes require adaptive behavior such as unexpected inhibition or unexpected action. The current theory of unexpected events suggests that such unexpected events just like global stopping recruit a fronto-basal-ganglia network. A global suppressive effect impacting ongoing motor responses and cognition is specifically attributed to the subthalamic nucleus (STN). Previous studies either used separate tasks or presented unexpected, task-unrelated stimuli during response inhibition tasks to relate the neural signature of unexpected events to that of stopping. Here, we aimed to test these predictions using a within task design with identical stimulus material for both unexpected action and unexpected inhibition using functional magnetic resonance imaging (fMRI) for the first time. To this end, 32 healthy human participants of both sexes performed a cue-informed go/nogo task comprising expected and unexpected action and inhibition trials during fMRI. Using conjunction, contrast, and Bayesian analyses, we demonstrate that unexpected action elicited by an unexpected go signal and unexpected inhibition elicited by an unexpected nogo signal recruited the same fronto-basal-ganglia network which is usually assigned to stopping. Furthermore, the stronger the unexpected action-related activity in the STN region was the more detrimental was the effect on response times. The present results thus complement earlier findings and provide direct evidence for the unified theory of unexpected events while ruling out alternative task and novelty effects.</t>
  </si>
  <si>
    <t>Pubmed search for "unexpected events motor control"</t>
  </si>
  <si>
    <t>cue-informed go/nogo; the unexpected trial changes the required response, so t=1 (redefines the goal) even though the event is not a perturbation</t>
  </si>
  <si>
    <t>Jan R Wessel</t>
  </si>
  <si>
    <t>Perceptual surprise aides inhibitory motor control</t>
  </si>
  <si>
    <t>Go/No-go task</t>
  </si>
  <si>
    <t>They argue that unexpected events can engage an inhibitory control process and benefit motor inhibition</t>
  </si>
  <si>
    <t xml:space="preserve">Counterexample regarding a previous study, presenting a similar experimental paradgim with the modifications that task-irrelevant sounds were presented 50 ms after NoGo-stimulus onset, which ensures that cortico-motor inhibition takes place when motor inhibition is needed. </t>
  </si>
  <si>
    <t>Neurophysiological studies of cortico-motor excitability have shown that unexpected sounds are followed by motor inhibition. In a recent study, Leiva, Parmentier, Elchlepp, and Verbruggen (2015) derived a prediction from these findings: unexpected, task-irrelevant sounds should increase the ability to withhold motor responses in a Go/NoGo task. Contrary to that prediction, they found that playing unexpected sounds before NoGo-stimuli decreased the likelihood of successful motor inhibition. However, we here argue that the relative timing of unexpected events relative to NoGo-related motor activity is key. Cortico-motor inhibition can be found only until ∼150 ms after the onset of unexpected sounds. Therefore, since Leiva et al. (2015) placed their sounds 200 ms prior to NoGo-stimuli, the inhibitory influence of unexpected sounds may have fully abated before the critical inhibitory period. Consequently, we here repeated their study, with 1 key change: task-irrelevant sounds were presented 50 ms after NoGo-stimulus onset, which ensures that cortico-motor inhibition takes place when motor inhibition is needed. Across 4 experiments, this changed timing produced the results predicted by the previous cortico-motor suppression findings: More responses were successfully withheld after unexpected sounds. These data provide new evidence for the fact that unexpected events can engage an inhibitory control process and benefit motor inhibition.</t>
  </si>
  <si>
    <t>go/nogo with task-irrelevant sounds 50 ms after NoGo onset; low t with a motor read-out, but y is discrete</t>
  </si>
  <si>
    <t>Surprise: A More Realistic Framework for Studying Action Stopping?</t>
  </si>
  <si>
    <t>Motor inhibition enables rapid action stopping, even post initiation. When action stopping is anticipated (such as in laboratory stopping tasks), inhibition is engaged proactively. Such proactive inhibition changes the physiological implementation of action stopping. However, many real-world action-stopping scenarios involve little proactive inhibition. To investigate purely reactive inhibition, researchers need a different paradigm: studying surprise.</t>
  </si>
  <si>
    <t>opinion / review</t>
  </si>
  <si>
    <t>Isometric force hold interrupted by salient irrelevant stimuli with eyes closed; corticomuscular coupling as the readout. The external surprise hierarchy is averaged across the 4 conducted experiment (1 single pulse cross modality, 2 single pulse in either of the modalities, and 1 sequence). For teh stimuli of mild intensity to prevent overt, startle-like motor responses, I considered to be moderatelly rare (p ~ 0.1).</t>
  </si>
  <si>
    <t>They describe a physiological mechanism coupling saliency-related cortical responses with motor output. Force-modulation by salient stimuli is triphasic, independent of the sensory modality, correlated with the amplitude of the neural elicited response, and dependent on contextual factors (not reflexive, i.e. no startle response seemed evidenced)</t>
  </si>
  <si>
    <t>Here we consider same paper EXP 2: 5-7 stim with interstimulus interval of 6-10s (electrical stimuli)</t>
  </si>
  <si>
    <t>Exp 3: stimulus in sequence of 3 at constant interval 1s, time between each triplet would be 18-30s. First we consider the triplet and then each one within the sequence</t>
  </si>
  <si>
    <t>Exp 4: startle reflex experiment: 28 standard electrical stimuli (all of high intensity) and 4 exceptionally loud (100 dB) startling auditory stimuli. 4 stimuli per block with 10-15s interstimuli interval. We again have the low and the high stimuli surprise</t>
  </si>
  <si>
    <t xml:space="preserve">Robbe L T Goris et al. </t>
  </si>
  <si>
    <t>Partitioning neuronal variability</t>
  </si>
  <si>
    <t>Internal error</t>
  </si>
  <si>
    <t>After PeterNeri discussion (interesting to look for similar approaches on internal error or variability source within motor control tasks)</t>
  </si>
  <si>
    <t>methods / statistics</t>
  </si>
  <si>
    <t>monosov2024curiosity</t>
  </si>
  <si>
    <t>Monosov</t>
  </si>
  <si>
    <t>Curiosity: primate neural circuits for novelty and information seeking</t>
  </si>
  <si>
    <t>Reviews primate neural circuits for novelty and information seeking.</t>
  </si>
  <si>
    <t>novembre2024cortical</t>
  </si>
  <si>
    <t>A cortical mechanism linking saliency detection and motor reactivity in rhesus monkeys</t>
  </si>
  <si>
    <t>Reveals a cortical mechanism linking saliency detection to motor reactivity in monkeys.</t>
  </si>
  <si>
    <t>Participants passively listened to a stream of pure tone sounds, whilst performing a visual change-detection task (motor task engagement: Cued discrete keypress to a luminance change, 0.33, visual detection task, requiring a discrete identification; motor task timescale: 0.14: one discrete output).</t>
  </si>
  <si>
    <t>in Exp 1 every probe coincided with the luminance change!!</t>
  </si>
  <si>
    <t>frequencies of most of the tone pulses were sampled from a Gaussian distribution in log-frequency, centred at 500 Hz and with one of two standard deviations: low (sl ~0:5 octaves) or high (sh~1:5 octaves). The probe is a fixed-10% deviant, but what makes it odd is a second moment estimated over ~1500 tones and stepped between blocks. Relevance: Instruction said ignore, design made it a perfect temporal cue → informative but optional. But Participants were told to ignore the sounds and respond only to the visual task in both cases!!</t>
  </si>
  <si>
    <t>miyakoshi_eeg_2025</t>
  </si>
  <si>
    <t>Miyakoshi, Makoto and Jurgiel, Joseph and Dillon, Andrea and Piacentini, John and Makeig, Scott and Loo, Sandra K.</t>
  </si>
  <si>
    <t>{EEG} power modulation in the sensorimotor regions is critical to motor tic suppression</t>
  </si>
  <si>
    <t>Better tic suppression was associated with increased EEG power, a similar pattern observed among controls during blink suppression. EEG power in sensorimotor regions is a neural marker of tic suppression performance in children with CTD.</t>
  </si>
  <si>
    <t>Frontiers in Psychiatry</t>
  </si>
  <si>
    <t>Makoto related paper about sensorimotor suppression, might be interesting to scan</t>
  </si>
  <si>
    <t>New, from Makoto's talk</t>
  </si>
  <si>
    <t>perovic2025extralemniscal</t>
  </si>
  <si>
    <t>Perovic et al.</t>
  </si>
  <si>
    <t>The extralemniscal system modulates early somatosensory cortical processing</t>
  </si>
  <si>
    <t>Shows the extralemniscal system modulates early somatosensory cortical processing.</t>
  </si>
  <si>
    <t>extralemniscal modulation of S1 in rodent, no task</t>
  </si>
  <si>
    <t>yue2025neuronal</t>
  </si>
  <si>
    <t>Yue et al.</t>
  </si>
  <si>
    <t>Neuronal mechanisms of nociceptive-evoked gamma-band oscillations in rodents</t>
  </si>
  <si>
    <t>Identifies neuronal mechanisms of nociceptive-evoked gamma oscillations in rodents.</t>
  </si>
  <si>
    <t>in Exp 2 the streams were decoupled</t>
  </si>
  <si>
    <t>Task relevance: instructed-irrelevant and genuinely uncorrelated.</t>
  </si>
  <si>
    <t>somervail2026two</t>
  </si>
  <si>
    <t>Somervail et al.</t>
  </si>
  <si>
    <t>A two-system theory of sensory-evoked brain responses</t>
  </si>
  <si>
    <t>Proposes a two-system theory of sensory-evoked brain responses.</t>
  </si>
  <si>
    <t>richards2019deep</t>
  </si>
  <si>
    <t>Richards, Blake A and Lillicrap, Timothy P and Beaudoin, Philippe and Bengio, Yoshua and Bogacz, Rafal and Christensen, Amelia and Clopath, Claudia and Costa, Rui Ponte and de Berker, Archy and Ganguli, Surya and others</t>
  </si>
  <si>
    <t>A deep learning framework for neuroscience</t>
  </si>
  <si>
    <t>Computational Models</t>
  </si>
  <si>
    <t>ANN</t>
  </si>
  <si>
    <t>They organize neuroscience around computational ingredients: Architecture, Learning Rule, Objective.</t>
  </si>
  <si>
    <t xml:space="preserve">It sometimes gives the impression that deep learning is the correct language for neuroscience, whereas in reality it is one very successful language among several. Instead of asking "How does the brain implement this computation?", ask "What objective is being optimized, what learning rule could achieve it, and what architecture supports it?" Could be useful for the part in which we talk about the computational space!! Although it focuses in ANN. </t>
  </si>
  <si>
    <t>Systems neuroscience seeks explanations for how the brain implements a wide variety of perceptual, cognitive and motor tasks.
Conversely, artificial intelligence attempts to design computational systems based on the tasks they will have to solve. In artifi-
cial neural networks, the three components specified by design are the objective functions, the learning rules and the architec-
tures. With the growing success of deep learning, which utilizes brain-inspired architectures, these three designed components
have increasingly become central to how we model, engineer and optimize complex artificial learning systems. Here we argue
that a greater focus on these components would also benefit systems neuroscience. We give examples of how this optimization-
based framework can drive theoretical and experimental progress in neuroscience. We contend that this principled perspective
on systems neuroscience will help to generate more rapid progress.</t>
  </si>
  <si>
    <t>Computational models for neuroscience</t>
  </si>
  <si>
    <t>lehmann_conceptual_2026</t>
  </si>
  <si>
    <t>Lehmann, Tim and Miyakoshi, Makoto and Baumeister, Jochen</t>
  </si>
  <si>
    <t>Conceptual rethinking of whole-body perturbation-evoked potentials as a biomarker of extralemniscal sensory transmission, alertness and arousal</t>
  </si>
  <si>
    <t>Current review about saliency and extralemniscal, has a table and some structure that might be useful</t>
  </si>
  <si>
    <t>sokolov1990orienting</t>
  </si>
  <si>
    <t>Sokolov, EN</t>
  </si>
  <si>
    <t>The orienting response, and future directions of its development</t>
  </si>
  <si>
    <t>The Pavlovian journal of biological science</t>
  </si>
  <si>
    <t>To score!</t>
  </si>
  <si>
    <t xml:space="preserve">Orienting response reference. </t>
  </si>
  <si>
    <t>The orienting response (OR) is a specific behavioral act directed towards extraction
of information from the environment. Head and eye movements represent only the tip of the
iceberg of internal responses, which includes vascular modifications, EEG changes, and
event-related potentials. Two mechanisms of the OR have to be differentiated: voluntary and
involuntary. In the event-related potential, such a differentiation is expressed in mismatch
negativity (involuntary effect) and processing negativity (voluntary effect). Single unit studies
have shown that hippocampal neurones are simulating specific features of the OR as a response
to novelty. Repeated presentation of stimuli results in a selective habituation of novelty
detectors in hippocampus and of the OR. The trace of a standard stimulus formed at the level
of hippocampal neurones matches the features of the standard stimulus and can be called a
"neuronal model of the stimulus." The OR is triggered by mismatch between the test stimulus
and the elaborated neuronal model, and is activated by verbal instruction, by reinforcement
during the initial stage of conditioned reflex elaboration, and by differentiation of signal and
non-signal stimuli.
A promising new area of practical application of the OR lies in the evaluation of a corridor
of optimal functional state for efficient computer-based learning. Registration of the OR and
defensive responses can be used for an objective evaluation of the functional state of the
student, or, in a wider sense, of the industrial operator. New avenues of OR research are
opened by recent techniques that isolate single-trial event related potentials, and their
correlation with autonomic and behavioral manifestations of the OR. The combination of
single unit recording with such isolated event related potentials can elucidate the neuronal basis
of OR generation. Intracellular recording combined with dye injection can be used for analysis
of the synaptic contacts involved in generation of the OR.
Integration of macro and micro levels of OR organization can be achieved in a computerized
model that can be used for simulation and planning of experiments. A step-by-step
improvement of the model will accumulate knowledge about the OR as an important
mechanism of information processing.</t>
  </si>
  <si>
    <t>Orienting Response</t>
  </si>
  <si>
    <t>review chapter</t>
  </si>
  <si>
    <t>ohman2021orienting</t>
  </si>
  <si>
    <t>Ohman, Arne</t>
  </si>
  <si>
    <t>The orienting response, attention, and learning: An information-processing perspective</t>
  </si>
  <si>
    <t xml:space="preserve">Orienting response reference, interesting chapter from the book The orienting reflex in humans. Could not download yet. </t>
  </si>
  <si>
    <t>The concept of “information-processing” has often been invoked in the orienting response (OR) literature. The present chapter purports to develop such a framework and to show that much of the data on the OR from habituation and conditioning paradigms may be understood in this way. It elaborates on the proposed distinctions and the function of the OR within an information-processing perspective. The long-term store (LTS) contains representations of past events and experiences, knowledge, and skills. The short-term store is built up of activated control elements from the LTS. The expectancy loop increases in precision with training so that the subject becomes better and better able to estimate when the UCS is due and to evaluate changes in the CS-UCS relationship. The OR is frequently viewed as a mechanism for involuntary or reflexive attention. The chapter focuses primarily on SCRs in long-ISI classical conditioning paradigms.</t>
  </si>
  <si>
    <t>book chapter</t>
  </si>
  <si>
    <t>quaia1999model</t>
  </si>
  <si>
    <t>Quaia, Christian and Lef{\`e}vre, Philippe and Optican, Lance M</t>
  </si>
  <si>
    <t>Model of the control of saccades by superior colliculus and cerebellum</t>
  </si>
  <si>
    <t>Computational model to predict orienting resposne as: stimulus location→spatial neural representation→orienting command→movement toward stimulus.</t>
  </si>
  <si>
    <t>They construct an explicit computational model in which stimulus/target location is represented topographically, and SC activity provides a directional drive to the brainstem saccade circuitry. In their model, the FEF input encodes the target location in retinotopic coordinates, while SC activity determines the direction/amplitude of the resulting movement.</t>
  </si>
  <si>
    <t>Experimental evidence indicates
that the superior colliculus (SC) is important but neither necessary nor
sufficient to produce accurate saccadic eye movements. Furthermore
both clinical and experimental evidence points to the cerebellum as an
indispensable component of the saccadic system. Accordingly, we
have devised a new model of the saccadic system in which the
characteristics of saccades are determined by the cooperation of two
pathways, one through the SC and the other through the cerebellum.
Both pathways are influenced by feedback information: the feedback
determines the decay of activity for collicular neurons and the timing
of the activation for cerebellar neurons. We have modeled three types
of cells (burst, buildup, and fixation neurons) found in the intermedi-
ate layers of the superior colliculus. We propose that, from the point
of view of motor execution, the burst neurons and the buildup neurons
are not functionally distinct with both providing a directional drive to
the brain stem circuitry. The fixation neurons determine the onset of
the saccade by disfacilitating the omnipause neurons in the brain stem.
Excluding noise-related variations, the ratio of the horizontal to the
vertical components of the collicular drive is fixed throughout the
saccade (i.e., its direction is fixed); the duration of the drive is such
that it always would produce hypermetric movements. The cerebellum
plays three roles: first, it provides an additional directional drive,
which improves the acceleration of the eyes; second, it keeps track of
the progress of the saccade toward the target; and third, it ends the
saccade by choking off the collicular drive. The drive provided by the
cerebellum can be adjusted in direction to exert a directional control
over the saccadic trajectory. We propose here a control mechanism
that incorporates a spatial displacement integrator in the cerebellum;
under such conditions, we show that a partial directional control arises
automatically. Our scheme preserves the advantages of several pre-
vious models of the saccadic system (e.g., the lack of a spatial-to-
temporal transformation between the SC and the brain stem; the use of
efference copy feedback to control the saccade), without incurring
many of their drawbacks, and it accounts for a large amount of
experimental data.</t>
  </si>
  <si>
    <t>alizadeh2022dynamic</t>
  </si>
  <si>
    <t>Alizadeh, Arezoo and Van Opstal, A John</t>
  </si>
  <si>
    <t>Dynamic control of eye-head gaze shifts by a spiking neural network model of the superior colliculus</t>
  </si>
  <si>
    <t>Computational model to predict orienting response using a: simple spiking neural network</t>
  </si>
  <si>
    <t>Frontiers in Computational Neuroscience</t>
  </si>
  <si>
    <t>Introduction: To reorient gaze (the eye’s direction in space) towards a target is
an overdetermined problem, as infinitely many combinations of eye- and head
movements can specify the same gaze-displacement vector. Yet, behavioral
measurements show that the primate gaze-control system selects a specific
contribution of eye- and head movements to the saccade, which depends
on the initial eye-in-head orientation. Single-unit recordings in the primate
superior colliculus (SC) during head-unrestrained gaze shifts have further
suggested that cells may encode the instantaneous trajectory of a desired
straight gaze path in a feedforward way by the total cumulative number of
spikes in the neural population, and that the instantaneous gaze kinematics
are thus determined by the neural firing rates. The recordings also indicated
that the latter is modulated by the initial eye position. We recently proposed
a conceptual model that accounts for many of the observed properties of
eye-head gaze shifts and on the potential role of the SC in gaze control.
Methods: Here, we extend and test the model by incorporating a spiking
neural network of the SC motor map, the output of which drives the eye-head
motor control circuitry by linear cumulative summation of individual spike
effects of each recruited SC neuron. We propose a simple neural mechanism
on SC cells that explains the modulatory influence of feedback from an
initial eye-in-head position signal on their spiking activity. The same signal
also determines the onset delay of the head movement with respect to the
eye. Moreover, the downstream eye- and head burst generators were taken
to be linear, as our earlier work had indicated that much of the non-linear
main-sequence kinematics of saccadic eye movements may be due to neural
encoding at the collicular level, rather than at the brainstem.
Results and discussion: We investigate how the spiking activity of the SC
population drives gaze to the intended target location within a dynamic local
gaze-velocity feedback circuit that yields realistic eye- and head-movement
kinematics and dynamic SC gaze-movement fields.</t>
  </si>
  <si>
    <t>martin2019process</t>
  </si>
  <si>
    <t>Martin, Valère and Reimann, Hendrik and Schoner, Gregor</t>
  </si>
  <si>
    <t>A process account of the uncontrolled manifold structure of joint space variance in pointing movements</t>
  </si>
  <si>
    <t>Biological Cybernetics</t>
  </si>
  <si>
    <t>In many situations, the human movement system has more degrees of freedom than needed to achieve a given movement
task. Martin et al. (Neural Comput 21(5):1371–1414, 2009) accounted for signatures of such redundancy like self-motion
and motor equivalence in a process model in which a neural oscillator generated timed end-effector virtual trajectories that
a neural dynamics transformed into joint virtual trajectories while decoupling task-relevant and task-irrelevant combinations
of joint angles. Neural control of muscle activation and the biomechanical dynamics of the arm were taken into account.
The model did not address the main signature of redundancy, however, the UCM structure of variance: Many experimental
studies have shown that across repetitions, variance of joint configuration trajectories is structured. Combinations of joint
angles that affect task variables (lying in the uncontrolled manifold, UCM) are much more variable than combinations of joint
angles that do not. This finding has been robust across movement systems, age, and tasks and is often preserved in clinical
populations as well. Here, we provide an account for the UCM structure of variance by adding four types of noise sources
to the model of Martin et al. (Neural Comput 21(5):1371–1414, 2009). Comparing the model to human pointing movements
and systematically examining the role of each noise source and mechanism, we identify three causes of the UCM effect, all
of which, we argue, contribute: (1) the decoupling of motor commands across the task-relevant and task-irrelevant subspaces
together with “neural” noise at the level of these motor commands; (2) “muscle noise” combined with imperfect control of
the limb; (3) back-coupling of sensed joint configurations into the motor commands which then yield to the sensed joint
configuration within the UCM.</t>
  </si>
  <si>
    <t>pointing, UCM process account, unperturbed</t>
  </si>
  <si>
    <t>scholz2014use</t>
  </si>
  <si>
    <t>Use of the Uncontrolled Manifold (UCM) Approach to Understand Motor Variability, Motor Equivalence, and Self-motion</t>
  </si>
  <si>
    <t xml:space="preserve">Review that explicitly discusses motor equivalence as the perturbation counterpart of the UCM framework. </t>
  </si>
  <si>
    <t>Progress in motor control: Skill learning, performance, health, and injury</t>
  </si>
  <si>
    <t>We review the uncontrolled manifold (UCM) approach to the analysis of motor variance. In that approach, variance in multi-degree of freedom systems is decomposed into variance that leaves task variables invariant (UCM) and variance that does not (orthogonal to UCM). Larger variance within the UCM than orthogonal to it is interpreted as evidence for a task-specific solution of the multi-degree of freedom problem. The extent to which UCM measures depend on the choice of variables and coordinate systems has been a topic of controversial discussion. We clarify these issues and explain the sense in which the UCM approach is geometric in nature. We embrace a combined approach in which the geometrical perspective is retained but complemented by an assessment of the correlations in multi-degree of freedom movement data. We then review the problem of motor equivalence, in which deterministic rather than stochastic perturbations probe the organization of multiple degrees of freedom. We argue that motor equivalence requires a UCM perspective because the effect of perturbations on the task variable cannot be compared to their effect on task-irrelevant dimension of the system unless both are embedded in a shared space. The geometrical interpretation of UCM is thus critical for this extension of the UCM approach. We finally briefly review the concept of self-motion that is likewise based on the geometrical view of UCM.</t>
  </si>
  <si>
    <t>mattos2011unpredictable</t>
  </si>
  <si>
    <t>Mattos, DJS and Latash, ML and Park, E and Kuhl, J and Scholz,</t>
  </si>
  <si>
    <t>Unpredictable elbow joint perturbation during reaching results in multijoint motor equivalence</t>
  </si>
  <si>
    <t>Pointing perturbed task</t>
  </si>
  <si>
    <t>Motor equivalence</t>
  </si>
  <si>
    <t>applied unpredictable elbow perturbations during reaching and found motor equivalence: the multiple joints reorganized so that important performance variables, particularly hand position/orientation, were stabilized despite the perturbation.</t>
  </si>
  <si>
    <t>To Score</t>
  </si>
  <si>
    <t xml:space="preserve">Studies motor equivalence (compensation when there is a perturbation to mantain task performance) doring a pointing task. Uncontrolled manifold is the computational method used to explain the pehnomenon of motor compensation or equivalence. </t>
  </si>
  <si>
    <t>Motor equivalence expresses the idea that movement components reorganize in the
face of perturbations to preserve the value of important performance variables, such as the
hand’s position in reaching. A formal method is introduced to evaluate this concept
quantitatively; that changes in the joint configuration due to unpredictable elbow perturbation
lead to a smaller change in performance variables than expected given the magnitude of the
joint configuration change. This study investigated whether motor equivalence was present
during the entire movement trajectory and how the magnitude of motor equivalence was
affected by constraints imposed by two different target types. Subjects pointed to spherical and
cylindrical targets both with and without an elbow joint perturbation, produced by either a low- or
high-stiffness elastic band. Subjects' view of their arm was blocked in the initial position and the
perturbation condition was randomized to avoid prediction of the perturbation or its magnitude.
A modification of the uncontrolled manifold method variance analysis was used to investigate
how changes in the joint configuration on perturbed versus non-perturbed trials (joint deviation
vector) affected the hand's position or orientation. Evidence for motor equivalence induced by
the perturbation was present from the reach onset and increased with the strength of the
perturbation after 40% of the reach, becoming more prominent as the reach progressed. Hand
orientation was stabilized more strongly by motor equivalent changes in the joint configuration
than was the 3D position regardless of the target condition. Results are consistent with a recent
model of neural control that allows for flexible patterns of joint coordination while resisting joint
configuration deviations in directions that affect salient performance variables. The observations
also fit a general scheme of synergic control with referent configurations defined across different
levels of the motor hierarchy.</t>
  </si>
  <si>
    <t>unpredictable elbow perturbation during pointing; motor-equivalent compensation</t>
  </si>
  <si>
    <t>mattos2015task</t>
  </si>
  <si>
    <t>Mattos, Daniela and Sch{\"o}ner, Gregor and Zatsiorsky, Vladimir M and Latash, Mark L</t>
  </si>
  <si>
    <t>Task-specific stability of abundant systems: structure of variance and motor equivalence</t>
  </si>
  <si>
    <t>Neuroscience</t>
  </si>
  <si>
    <t xml:space="preserve">Also simulation on motor equivalence. </t>
  </si>
  <si>
    <t>Our main goal was to test a hypothesis that tran-
sient changes in performance of a steady-state task would
result in motor equivalence. We also estimated eﬀects of
visual feedback on the amount of reorganization of motor
elements. Healthy subjects performed two variations of a
four-finger pressing task requiring accurate production of
total pressing force (FTOT) and total moment of force (MTOT).
In the Jumping-Target task, a sequence of target jumps
required transient changes in either FTOT or MTOT. In the
Step-Perturbation task, the index finger was lifted by 1 cm
for 0.5 s leading to a change in both FTOT and MTOT. Visual
feedback could have been frozen for one of these two vari-
ables in both tasks. Deviations in the space of finger modes
(hypothetical commands to individual fingers) were quanti-
fied in directions of unchanged FTOT and MTOT (motor equiv-
alent – ME) and in directions that changed FTOT and MTOT
(non-motor equivalence – nME). Both the ME and nME com-
ponents increased when the performance changed. After
transient target jumps leading to the same combination of
FTOT and MTOT, the changes in finger modes had a large
residual ME component with only a very small nME compo-
nent. Without visual feedback, an increase in the nME com-
ponent was observed without consistent changes in the ME
component. Results from the Step-Perturbation task were
qualitatively similar. These findings suggest that both exter-
nal perturbations and purposeful changes in performance
trigger a reorganization of elements of an abundant system,
leading to large ME change. These results are consistent
with the principle of motor abundance corroborating the
idea that a family of solutions is facilitated to stabilize values of important performance variables</t>
  </si>
  <si>
    <t>scholz2007motor</t>
  </si>
  <si>
    <t>Motor equivalent control of the center of mass in response to support surface perturbations</t>
  </si>
  <si>
    <t xml:space="preserve">To claim that the center of mass (CM) of
the body is a controlled variable of the postural system
is difficult to verify experimentally. In this report, a
new variant of the method of the uncontrolled mani-
fold (UCM) hypothesis was used to evaluate CM
control in response to an abrupt surface perturbation
during stance. Subjects stood upright on a support
surface that was displaced in the posterior direction.
Support surface translations between 0.03 and 0.12 m,
each lasting for 275 ms, were presented randomly. The
UCM corresponding to all possible combinations of
joints that are equivalent with respect to producing the
average pre-perturbation anterior–posterior position
of the center of mass (CMAP) were linearly estimated
for each trial. At each point in time thereafter, the
difference between the current joint configuration and
the average pre-perturbation joint configuration was computed. This joint difference vector was then pro-
jected onto the pre-perturbation UCM as a measure of
motor equivalence, and onto its complementary sub-
space, which represents joint combinations that lead to
a different CMAP position. A similar analysis was
performed related to control of the trunk’s spatial
orientation. The extent to which the joint velocity
vector acted to stabilize the CMAP position was also
examined. Excursions of the hip and ankle joints both
increased linearly with perturbation magnitude. The
configuration of joints at each instance during the
perturbation differed from the mean configuration
prior to the perturbation, as evidenced by the joint
difference vector. Most of this joint difference vector
was consistent, however, with the average pre-pertur-
bation CMAP position rather than leading to a different
CMAP position. This was not the case, however, when
performing this analysis with respect to the UCM
corresponding to the control of the pre-perturbation
trunk orientation. The projection of the instantaneous
joint velocity vector also was found to lie primarily in
the UCM corresponding to the pre-perturbation CMAP
position, indicating that joint motion was damped in
directions leading to a change away from the pre-per-
turbation CMAP position. These results provide quan-
titative support for the argument that the CM position
is a planned variable of the postural system and that its
control is achieved through selective, motor equivalent
changes in the joint configuration in response to sup-
port surface perturbations. The results suggest that the
nervous system accomplishes postural control by a
control strategy that considers all DOFs. This strategy
presumably resists combinations of DOFs that affect
the stability of important task-relevant variables
(CMAP position) while, to a large extent, freeing from control combinations of those DOFs that have no ef-
fect on the task-relevant variables. </t>
  </si>
  <si>
    <t>support-surface perturbation during quiet stance. Labelled 'Review' in the database but reports an experiment - label error flagged</t>
  </si>
  <si>
    <t>latash2010motor</t>
  </si>
  <si>
    <t>Latash, Mark L and Levin, Mindy F and Scholz, John P and Sch{\"o}ner, Gregor</t>
  </si>
  <si>
    <t>Motor control theories and their applications</t>
  </si>
  <si>
    <t>Medicina (Kaunas, Lithuania)</t>
  </si>
  <si>
    <t xml:space="preserve">Seems an interesting review going over motor control hypothesis as well. </t>
  </si>
  <si>
    <t>We describe several influential hypotheses in the field of motor control including the equilibrium-
point (referent configuration) hypothesis, the uncontrolled manifold hypothesis, and the idea of
synergies based on the principle of motor abundance. The equilibrium-point hypothesis is based
on the idea of control with thresholds for activation of neuronal pools; it provides a framework for
analysis of both voluntary and involuntary movements. In particular, control of a single muscle
can be adequately described with changes in the threshold of motor unit recruitment during slow
muscle stretch (threshold of the tonic stretch reflex). Unlike the ideas of internal models, the
equilibrium-point hypothesis does not assume neural computations of mechanical variables. The
uncontrolled manifold hypothesis is based on the dynamic system approach to movements; it
offers a toolbox to analyze synergic changes within redundant sets of elements related to
stabilization of potentially important performance variables. The referent configuration hypothesis
and the principle of abundance can be naturally combined into a single coherent scheme of control
of multi-element systems. A body of experimental data on healthy persons and patients with
movement disorders are reviewed in support of the mentioned hypotheses. In particular,
movement disorders associated with spasticity are considered as consequences of an impaired
ability to shift threshold of the tonic stretch reflex within the whole normal range. Technical
details and applications of the mentioned hypotheses to studies of motor learning are described.
We view the mentioned hypotheses as the most promising ones in the field of motor control, based
on a solid physical and neurophysiological foundation.</t>
  </si>
  <si>
    <t>davis1939electrical_e1</t>
  </si>
  <si>
    <t>Electrical reactions of the human brain to auditory stimulation during sleep [e1]</t>
  </si>
  <si>
    <t>Fig 1 - waking on-effect to tone (awake, eyes closed, no task)</t>
  </si>
  <si>
    <t>awake, eyes closed, lying in bed; no instruction to act and no measured effector output</t>
  </si>
  <si>
    <t>onset of a steady 500 Hz tone at 70 dB above threshold, repeated at a fixed rate; no instruction attached to it, so t = 0.17 uninstructed rather than 0 ignore-instructed</t>
  </si>
  <si>
    <t>one row per experimental paradigm of Davis et al. 1939 (rule R2); parent row davis1939electrical retired to avoid double counting</t>
  </si>
  <si>
    <t>davis1939electrical_e2</t>
  </si>
  <si>
    <t>Electrical reactions of the human brain to auditory stimulation during sleep [e2]</t>
  </si>
  <si>
    <t>Fig 1 - waking on-effect to light</t>
  </si>
  <si>
    <t>as e1, same session and same subject</t>
  </si>
  <si>
    <t>diffuse illumination from a 100 W lamp seen through closed eyelids; scored as a separate event under R2</t>
  </si>
  <si>
    <t>davis1939electrical_e3</t>
  </si>
  <si>
    <t>Electrical reactions of the human brain to auditory stimulation during sleep [e3]</t>
  </si>
  <si>
    <t>Fig 1 - waking on-effect to electric shocks</t>
  </si>
  <si>
    <t>as e1</t>
  </si>
  <si>
    <t>induction shocks to the left fourth finger; separate event under R2</t>
  </si>
  <si>
    <t>davis1939electrical_e4</t>
  </si>
  <si>
    <t>Electrical reactions of the human brain to auditory stimulation during sleep [e4]</t>
  </si>
  <si>
    <t>Fig 2 - K-complex to tone during sleep</t>
  </si>
  <si>
    <t>asleep: no task, no motor output, no instruction can be in force</t>
  </si>
  <si>
    <t>500 Hz tone at 70 dB above threshold delivered repeatedly during B-C stage sleep. This is the configuration the parent row was scored on</t>
  </si>
  <si>
    <t>davis1939electrical_e5</t>
  </si>
  <si>
    <t>Electrical reactions of the human brain to auditory stimulation during sleep [e5]</t>
  </si>
  <si>
    <t>K-complex to light during sleep</t>
  </si>
  <si>
    <t>asleep, no task</t>
  </si>
  <si>
    <t>room light turned on during sleep; reported in one sentence, less effective than sound</t>
  </si>
  <si>
    <t>davis1939electrical_e6</t>
  </si>
  <si>
    <t>Electrical reactions of the human brain to auditory stimulation during sleep [e6]</t>
  </si>
  <si>
    <t>K-complex to mild electric shocks during sleep</t>
  </si>
  <si>
    <t>mild shocks to the finger during sleep; reported in one sentence</t>
  </si>
  <si>
    <t>davis1939electrical_e7</t>
  </si>
  <si>
    <t>Electrical reactions of the human brain to auditory stimulation during sleep [e7]</t>
  </si>
  <si>
    <t>Conditioning attempt - tone paired with shock, then tone omitted</t>
  </si>
  <si>
    <t>shock and tone combined over a number of trials and the tone then withdrawn, so the contingency has to be estimated across trials: z = 0.67 by the letter of the ladder. The deepest surprise horizon in this paper, and it occurs with no task at all</t>
  </si>
  <si>
    <t>davis1939electrical_e8</t>
  </si>
  <si>
    <t>Electrical reactions of the human brain to auditory stimulation during sleep [e8]</t>
  </si>
  <si>
    <t>Fig 4 - paired tones, refractoriness of the slow component</t>
  </si>
  <si>
    <t>two brief 2000 Hz tones at 45 dB above threshold, the second within 3-5 s of the first; the event carries local temporal structure within a trial, z = 0.5</t>
  </si>
  <si>
    <t>davis1939electrical_e9</t>
  </si>
  <si>
    <t>Electrical reactions of the human brain to auditory stimulation during sleep [e9]</t>
  </si>
  <si>
    <t>Intermittent stimuli - clicks or knocks at 6 per second</t>
  </si>
  <si>
    <t>patterned trains at about 6 Hz, an attempt to drive the fast component; no driving obtained</t>
  </si>
  <si>
    <t>davis1939electrical_e10</t>
  </si>
  <si>
    <t>Electrical reactions of the human brain to auditory stimulation during sleep [e10]</t>
  </si>
  <si>
    <t>Fig 3 - tone turned off by squeezing a bulb, waking into sleep</t>
  </si>
  <si>
    <t>one discrete self-paced response per trial with generous tolerance: squeeze a rubber bulb to turn off the tone. The only paradigm in this paper that commits any capacity</t>
  </si>
  <si>
    <t>tone turned on automatically every half minute, so a fixed and learnable rate; it is the imperative signal the subject must respond to, hence t = 0.83</t>
  </si>
  <si>
    <t>davis1939electrical_e11</t>
  </si>
  <si>
    <t>Electrical reactions of the human brain to auditory stimulation during sleep [e11]</t>
  </si>
  <si>
    <t>Fig 3 - same tone, subject instructed to pay no attention</t>
  </si>
  <si>
    <t>no task in this condition</t>
  </si>
  <si>
    <t>explicitly to be ignored, which is the t = 0 rung: the alpha check appeared whether or not the subject was told to respond. A within-paper contrast on t alone</t>
  </si>
  <si>
    <t>davis1939electrical_e12</t>
  </si>
  <si>
    <t>Electrical reactions of the human brain to auditory stimulation during sleep [e12]</t>
  </si>
  <si>
    <t>Spontaneous K-complexes, no external event</t>
  </si>
  <si>
    <t>no assignable external cause; z = 0 so t, s and r are left empty under R5 rather than set to zero</t>
  </si>
  <si>
    <t>davis1939electrical_e13</t>
  </si>
  <si>
    <t>Electrical reactions of the human brain to auditory stimulation during sleep [e13]</t>
  </si>
  <si>
    <t>Fig 6 - DC-component control with the interrupter method</t>
  </si>
  <si>
    <t>same design as e4; differs only in the recording chain, so scoring it would double-count one paradigm</t>
  </si>
  <si>
    <t>Literature map - summary counts</t>
  </si>
  <si>
    <t>All counts are live COUNTIF formulas over the Articles sheet. Filter or edit Articles and these update on recalc.</t>
  </si>
  <si>
    <t>By topic</t>
  </si>
  <si>
    <t>Count</t>
  </si>
  <si>
    <t>By study type</t>
  </si>
  <si>
    <t>By framework</t>
  </si>
  <si>
    <t>By thematic file</t>
  </si>
  <si>
    <t>Total</t>
  </si>
  <si>
    <t>By species / model</t>
  </si>
  <si>
    <t>PARADIGM-SPACE AXES &amp; COMPUTATIONAL-ACCOUNT SCORING</t>
  </si>
  <si>
    <t>These columns are an AUTOMATED first-pass rubric, derived only from the Topic, Study type and Framework columns. Treat them like the Relevance column: a reproducible starting point to verify and overwrite, not ground truth.</t>
  </si>
  <si>
    <t>FOUR AXES (each 0-1):</t>
  </si>
  <si>
    <t xml:space="preserve">  axis_x_engagement        0 = no task ............... 1 = continuous control at capacity</t>
  </si>
  <si>
    <t xml:space="preserve">  axis_y_action_timescale  0 = single ballistic act .. 1 = continuous, non-stationary</t>
  </si>
  <si>
    <t xml:space="preserve">  axis_z_surprise_timescale 0 = no perturbation ...... 1 = non-stationary statistical drift</t>
  </si>
  <si>
    <t xml:space="preserve">  axis_rho_predictiveness  0 = pure exogenous salience 1 = task-relevant performance error</t>
  </si>
  <si>
    <t xml:space="preserve">  (rho is only meaningful when z &gt; ~0.05; at z~0 it is a placeholder.)</t>
  </si>
  <si>
    <t>is_paradigm / paradigm_kind:</t>
  </si>
  <si>
    <t xml:space="preserve">  empirical      = actually runs a paradigm (pins a point): behaviour, EEG/MEG, fMRI, TMS, ephys.</t>
  </si>
  <si>
    <t xml:space="preserve">  simulation     = instantiates a paradigm in silico: computational model, robotics.</t>
  </si>
  <si>
    <t xml:space="preserve">  theory/review  = describes/theorises; occupies the region diffusely (plotted faded).</t>
  </si>
  <si>
    <t>COMPUTATIONAL ACCOUNTS (P_* columns, sum to 1):</t>
  </si>
  <si>
    <t xml:space="preserve">  PC  predictive coding            AIF active inference          OFC optimal feedback control</t>
  </si>
  <si>
    <t xml:space="preserve">  SDT statistical decision theory  DDM drift-diffusion / evidence accumulation</t>
  </si>
  <si>
    <t xml:space="preserve">  AC  affordance competition       SAL salience / attention      RL  reinforcement learning / value</t>
  </si>
  <si>
    <t xml:space="preserve">  dominant_account = argmax of the P_* vector.</t>
  </si>
  <si>
    <t>METHOD:</t>
  </si>
  <si>
    <t xml:space="preserve">  axes  = Topic base coordinate + Study-type nudge + Framework nudge, clipped to [0,1].</t>
  </si>
  <si>
    <t xml:space="preserve">  accounts = 0.6*Framework_vector + 0.4*Topic_vector, normalised.</t>
  </si>
  <si>
    <t xml:space="preserve">  Full rule tables are in scoring_rubric.py (delivered alongside this file).</t>
  </si>
  <si>
    <t>Paradigm Space axis and scale</t>
  </si>
  <si>
    <t>Axis</t>
  </si>
  <si>
    <t>Name</t>
  </si>
  <si>
    <t>Def</t>
  </si>
  <si>
    <t>Scale</t>
  </si>
  <si>
    <t xml:space="preserve">x axis: </t>
  </si>
  <si>
    <t xml:space="preserve">motor task difficulty (te): </t>
  </si>
  <si>
    <t>The capacity the task commits, from passive stimulation with no task at all, through a comfortable discrete response, to continuous control at the stability boundary</t>
  </si>
  <si>
    <t>(0, 0'16, 0'33, 0'5, 0'66, 0'83, 1) = (no task, no output, discrete, discrete sust, cont. Control, cont. Control non stat)</t>
  </si>
  <si>
    <t xml:space="preserve">y axis: </t>
  </si>
  <si>
    <t xml:space="preserve">z axis: </t>
  </si>
  <si>
    <t xml:space="preserve">r axis: </t>
  </si>
  <si>
    <t xml:space="preserve">year axis: </t>
  </si>
  <si>
    <t>t axis</t>
  </si>
  <si>
    <t>motor task task timescale (t_t)</t>
  </si>
  <si>
    <t>The window over which the motor command stays open to revision, from a single ballistic commitment to continuous non-stationary control</t>
  </si>
  <si>
    <t>(0, 0'14, 0'28, 0'43, 0'57, 0'71, 0'86, 1) = (no action, discrete, discrete + correction, seq of discrete, cont stat, cont non-stat, ext naturalistic)</t>
  </si>
  <si>
    <t>external surprise hierarchy(s_t)</t>
  </si>
  <si>
    <t>The horizon over which the perturbing event's statistics unfold, and hence the hierarchical depth needed to estimate them: a single ash is punctate, a volatile schedule is deep</t>
  </si>
  <si>
    <t>(0, 0'16, 0'33, 0'5, 0'66, 0'83, 1) = (no surp, single pulse, short struct, sust/step, slow stat drift, non-stat changing env)</t>
  </si>
  <si>
    <t>year axis</t>
  </si>
  <si>
    <t>Publication year axis, used for time evolution of the paradigms</t>
  </si>
  <si>
    <t>year of publication</t>
  </si>
  <si>
    <t>Task relevance of the external stimuli</t>
  </si>
  <si>
    <t>Relevance of the external stimuli, going from 0 being completelly irrevelant (and therefore with the command to ignore it) and 1 completelly relevant for the task (for instance, when you hear a noise change task/target)</t>
  </si>
  <si>
    <t xml:space="preserve">s axis </t>
  </si>
  <si>
    <t>magnitude of external surprise</t>
  </si>
  <si>
    <t>x_1</t>
  </si>
  <si>
    <t>non-motor task difficulty</t>
  </si>
  <si>
    <t>y_1</t>
  </si>
  <si>
    <t>non-motor task timescale</t>
  </si>
  <si>
    <t>(0, 0'16, 0'33, 0'5, 0'66, 0'83, 1) = (</t>
  </si>
  <si>
    <t xml:space="preserve">Surprise related axis are defined for each external surprise identified. Given Ns external surprise identifies we have 3 x Ns axis. </t>
  </si>
  <si>
    <t>(0, 0'14, 0'28, 0'43, 0'57, 0'71, 0'86, 1) = (</t>
  </si>
  <si>
    <t>Endogenous or exogenous surprise</t>
  </si>
  <si>
    <t>The correlation between the perturbation and the task-relevant variable, from pure exogenous salience at ρ= 0 to a performance error at ρ= 1.</t>
  </si>
  <si>
    <t>Computational space</t>
  </si>
  <si>
    <t>Computational accounts (first cathegorical)</t>
  </si>
  <si>
    <t xml:space="preserve">SAL: </t>
  </si>
  <si>
    <t xml:space="preserve">Saliency detection </t>
  </si>
  <si>
    <t>Axis Fla - scoring criteria</t>
  </si>
  <si>
    <t>Every rung is a design feature readable from a Methods section. Scores are a reproducible starting point, not ground truth; overwrite freely.</t>
  </si>
  <si>
    <t>Since we are scoring the experimentla paradgims, we might define one entry (row) for each experimental paradigm, even if they are considered in the same paper (possible agreggations may be considered afterwards, or cluster analysis on the experimental paradigms)</t>
  </si>
  <si>
    <t>Decision rules</t>
  </si>
  <si>
    <t>R1  What counts as an external event</t>
  </si>
  <si>
    <t>An event scores on z/t/s/r only if it arrives while the task is already running - after the command has been issued or while an estimate is open - or if it is task-irrelevant. The imperative go-cue that starts a trial is part of the task, not a surprise. Without this rule every cued paradigm gets z &gt; 0 and the axis stops discriminating.</t>
  </si>
  <si>
    <t>R2  One event per row</t>
  </si>
  <si>
    <t>Score the event the paper manipulates. Name it in the note. Papers with genuinely two manipulated events are flagged for a second column block.</t>
  </si>
  <si>
    <t>R3  Score the design, never the result</t>
  </si>
  <si>
    <t>Rungs are read from Methods. 'Subjects were slowed by the tone' is a result; 'a 100 dB tone occurred on 10% of trials' is a design.</t>
  </si>
  <si>
    <t>R4  Score what the subject was asked to do, not what the effector did</t>
  </si>
  <si>
    <t>A reflex evoked in a passive subject is y = 0 on the motor axis even though muscles moved; the ongoing postural command, if any, sets y.</t>
  </si>
  <si>
    <t>R5  Empty, not zero</t>
  </si>
  <si>
    <t>z = 0 leaves t, s and r empty. A missing event has no relevance and no magnitude, and zeros would create a spurious cluster at the origin.</t>
  </si>
  <si>
    <t>R6  Not every reference is a paradigm</t>
  </si>
  <si>
    <t>Lesion series, autopsy studies, microstimulation mapping, reviews and pure theory get scorable = no and a reason. Forcing them to the origin would invent a dense cluster there and corrupt any coverage or gap statistic.</t>
  </si>
  <si>
    <t>R7  Round to the rung</t>
  </si>
  <si>
    <t>Only the tabulated values are used. If a paper sits between two rungs, take the lower one and say so in the note.</t>
  </si>
  <si>
    <t>R8  Confidence is part of the score</t>
  </si>
  <si>
    <t>hi = the paradigm is known in detail; md = determined by title and summary; lo = inferred, must be checked before use. Any claim about coverage should be re-run with lo rows dropped.</t>
  </si>
  <si>
    <t>x  motor task difficulty (t_e)</t>
  </si>
  <si>
    <t>value</t>
  </si>
  <si>
    <t>label</t>
  </si>
  <si>
    <t>operational test</t>
  </si>
  <si>
    <t>no task</t>
  </si>
  <si>
    <t>No instruction to act. Passive stimulation, rest, anaesthesia, free rest.</t>
  </si>
  <si>
    <t>task, no motor output</t>
  </si>
  <si>
    <t>There is a task but no measured effector output: perceptual report by verbal rating, delayed report, or observation only. Also: hold still.</t>
  </si>
  <si>
    <t>discrete response</t>
  </si>
  <si>
    <t>One self-paced or cued discrete response per trial with generous tolerance: a button press, a reach to a large target, a saccade.</t>
  </si>
  <si>
    <t>discrete, precision-constrained</t>
  </si>
  <si>
    <t>Same, but a speed, accuracy or force constraint binds: small target, deadline, penalty region, required trajectory.</t>
  </si>
  <si>
    <t>sustained output</t>
  </si>
  <si>
    <t>Output must be held, not just emitted: isometric force hold, posture, fixation, sustained grip. Effort is continuous but the goal is static.</t>
  </si>
  <si>
    <t>continuous control, stationary</t>
  </si>
  <si>
    <t>Closed loop with a moving goal and stationary plant: tracking, pursuit, steering, balancing on stable support, isometric forces.</t>
  </si>
  <si>
    <t>continuous control, non-stationary</t>
  </si>
  <si>
    <t>As above but the plant or its cost is non-stationary, or control runs at the stability boundary: unstable loads, changing dynamics, near-fall.</t>
  </si>
  <si>
    <t>y  motor task timescale (t_t)</t>
  </si>
  <si>
    <t>no action</t>
  </si>
  <si>
    <t>No motor command is issued at all.</t>
  </si>
  <si>
    <t>discrete ballistic</t>
  </si>
  <si>
    <t>One command, closed at onset. Too short or too fast to be revised in flight; the trial ends with the response.</t>
  </si>
  <si>
    <t>discrete + online correction</t>
  </si>
  <si>
    <t>One movement, long enough that feedback can revise it in flight: target jumps, mid-flight perturbations, corrections measurable.</t>
  </si>
  <si>
    <t>sustained hold</t>
  </si>
  <si>
    <t>A single goal held open for seconds: isometric force, posture, fixation. Continuously revisable, but with no trajectory to revise.</t>
  </si>
  <si>
    <t>sequence of discrete acts</t>
  </si>
  <si>
    <t>Several commands chained within a trial, revisable between elements: sequential reaching, speech, multi-step task.</t>
  </si>
  <si>
    <t>continuous, stationary</t>
  </si>
  <si>
    <t>One command open for the whole trial with a moving goal and fixed statistics: tracking or pursuit of a stationary-statistics target.</t>
  </si>
  <si>
    <t>continuous, non-stationary</t>
  </si>
  <si>
    <t>As above with drifting or switching statistics, or a changing plant.</t>
  </si>
  <si>
    <t>extended naturalistic</t>
  </si>
  <si>
    <t>Self-paced behaviour over minutes with no trial structure: free viewing, locomotion, free behaviour.</t>
  </si>
  <si>
    <t>z  external surprise hierarchy (s_t)</t>
  </si>
  <si>
    <t>no external event</t>
  </si>
  <si>
    <t>Nothing perturbs the task from outside it.</t>
  </si>
  <si>
    <t>single punctate pulse</t>
  </si>
  <si>
    <t>One-off transient with no estimable statistics within the experiment: a single startle, a single mechanical pulse, an unrepeated flash.</t>
  </si>
  <si>
    <t>repeated punctate, stationary rate</t>
  </si>
  <si>
    <t>Transients repeat with a fixed and learnable probability: classical oddball, fixed-p deviants, constant-rate perturbations.</t>
  </si>
  <si>
    <t>short within-trial structure</t>
  </si>
  <si>
    <t>The event carries local temporal structure that must be parsed inside a trial: sequences, roving rules, looming, patterned trains.</t>
  </si>
  <si>
    <t>sustained / step, distribution learned across trials</t>
  </si>
  <si>
    <t>The perturbation persists for a trial or block and its distribution has to be estimated over trials: force fields, visuomotor shifts drawn from a prior, step changes in task parameters.</t>
  </si>
  <si>
    <t>slow stationary drift</t>
  </si>
  <si>
    <t>A hidden variable drifts as a random walk with fixed volatility: drifting variance, drifting evidence, slowly changing reward rates.</t>
  </si>
  <si>
    <t>non-stationary / volatile</t>
  </si>
  <si>
    <t>Volatility itself changes, or change points occur: reversal learning, volatile schedules, natural scene statistics.</t>
  </si>
  <si>
    <t>t  task relevance of the external stimulus</t>
  </si>
  <si>
    <t>irrelevant, ignore instructed</t>
  </si>
  <si>
    <t>Explicitly to be ignored, no consequence for performance or payoff.</t>
  </si>
  <si>
    <t>irrelevant, uninstructed</t>
  </si>
  <si>
    <t>Not mentioned in the instructions and carrying no information; a distractor the subject is free to disregard.</t>
  </si>
  <si>
    <t>incidental, shared channel</t>
  </si>
  <si>
    <t>Carries no task information but arrives on the channel or in the space the task uses, so it competes for the same resources.</t>
  </si>
  <si>
    <t>informative but optional</t>
  </si>
  <si>
    <t>Can be exploited to do better; ignoring it costs little.</t>
  </si>
  <si>
    <t>parameter cue</t>
  </si>
  <si>
    <t>Signals a change in a task parameter the controller should use: a shift in gain, cost, or target uncertainty.</t>
  </si>
  <si>
    <t>object of the task / imperative</t>
  </si>
  <si>
    <t>The event is what the subject must judge, rate or respond to; or it is a Go/Stop signal.</t>
  </si>
  <si>
    <t>redefines the goal</t>
  </si>
  <si>
    <t>The event changes the target or the task itself; the ongoing command is wrong until it is incorporated (target jump, load step, cue switch).</t>
  </si>
  <si>
    <t>s  magnitude of the external surprise</t>
  </si>
  <si>
    <t>none</t>
  </si>
  <si>
    <t>No event.</t>
  </si>
  <si>
    <t>near threshold / frequent</t>
  </si>
  <si>
    <t>Weak or highly probable (p &gt; 0.5). Barely evokes a transient response.</t>
  </si>
  <si>
    <t>clearly detectable, common</t>
  </si>
  <si>
    <t>Comfortably suprathreshold, p ~ 0.2-0.5. Evokes an ERP but no overt behavioural interruption.</t>
  </si>
  <si>
    <t>suprathreshold, moderately rare</t>
  </si>
  <si>
    <t>Clear and p ~ 0.1-0.2, or a mechanical perturbation within the normal operating range of the limb.</t>
  </si>
  <si>
    <t>strong and rare</t>
  </si>
  <si>
    <t>Intense and p &lt;= 0.1: reliably evokes a vertex potential, a measurable kinematic deviation, or a defensive response.</t>
  </si>
  <si>
    <t>very intense, rare</t>
  </si>
  <si>
    <t xml:space="preserve">Near-noxious, startling (~ 90-100 dB), or a perturbation that threatens the task goal. </t>
  </si>
  <si>
    <t>maximal</t>
  </si>
  <si>
    <t>Noxious, startle-eliciting (&gt; 100 dB), or mechanically destabilising; unpredictable and rare. Interrupts behaviour outright.</t>
  </si>
  <si>
    <t>x_1  non-motor task difficulty</t>
  </si>
  <si>
    <t>No perceptual, mnemonic or decision demand.</t>
  </si>
  <si>
    <t>monitoring / detection</t>
  </si>
  <si>
    <t>Watch, listen, stay alert; detect an obvious event.</t>
  </si>
  <si>
    <t>easy discrimination</t>
  </si>
  <si>
    <t>One feature, well above threshold; simple categorisation or rating.</t>
  </si>
  <si>
    <t>near-threshold or rule-based judgement</t>
  </si>
  <si>
    <t>Discrimination near threshold, or a judgement requiring a learned rule or a timing readout (e.g. a Libet clock).</t>
  </si>
  <si>
    <t>decision under uncertainty</t>
  </si>
  <si>
    <t>Evidence must be accumulated or several attributes weighed: value-based choice, probabilistic inference, risk.</t>
  </si>
  <si>
    <t>working-memory or dual-task load</t>
  </si>
  <si>
    <t>A second stream must be maintained concurrently with the primary task.</t>
  </si>
  <si>
    <t>at capacity</t>
  </si>
  <si>
    <t>Dual task with both streams at their individual limits; explicit load manipulation up to failure.</t>
  </si>
  <si>
    <t>y_1  non-motor task timescale</t>
  </si>
  <si>
    <t>No non-motor task.</t>
  </si>
  <si>
    <t>single closed judgement</t>
  </si>
  <si>
    <t>One judgement per trial, closed at response, no revision.</t>
  </si>
  <si>
    <t>judgement revisable within trial</t>
  </si>
  <si>
    <t>Evidence keeps arriving after the decision is provisionally formed; changes of mind are possible and measured.</t>
  </si>
  <si>
    <t>within-trial accumulation</t>
  </si>
  <si>
    <t>The estimate is built over an extended within-trial sequence.</t>
  </si>
  <si>
    <t>across-trial learning</t>
  </si>
  <si>
    <t>Beliefs carry across trials: adaptation, sequence effects, priors learned over a block.</t>
  </si>
  <si>
    <t>across-block adaptation</t>
  </si>
  <si>
    <t>The estimate must track a quantity that changes over blocks.</t>
  </si>
  <si>
    <t>session-long tracking</t>
  </si>
  <si>
    <t>A hidden variable is tracked continuously for the whole session.</t>
  </si>
  <si>
    <t>open-ended</t>
  </si>
  <si>
    <t>No closing point; belief updating is continuous and unbounded.</t>
  </si>
  <si>
    <t>r  endogenous vs exogenous</t>
  </si>
  <si>
    <t>pure exogenous</t>
  </si>
  <si>
    <t>Zero correlation with any task-relevant variable; the optimal response is to ignore it.</t>
  </si>
  <si>
    <t>mixed</t>
  </si>
  <si>
    <t>Correlated with a task variable on some trials or in some conditions.</t>
  </si>
  <si>
    <t>pure performance error</t>
  </si>
  <si>
    <t>The event IS the deviation of the controlled variable from its target.</t>
  </si>
  <si>
    <t>Q1</t>
  </si>
  <si>
    <t>Q2</t>
  </si>
  <si>
    <t>Q3</t>
  </si>
  <si>
    <t>Q4</t>
  </si>
  <si>
    <t>Foundation and Computational Modelling</t>
  </si>
  <si>
    <t>Literature Review</t>
  </si>
  <si>
    <t>Definition of main tracks of research</t>
  </si>
  <si>
    <t>Skills Assessment and formal training</t>
  </si>
  <si>
    <t>Data familiarization</t>
  </si>
  <si>
    <t>Model development</t>
  </si>
  <si>
    <t>Model design</t>
  </si>
  <si>
    <t>Model Implementation</t>
  </si>
  <si>
    <t>Model validation</t>
  </si>
  <si>
    <t>Results integration and gathering</t>
  </si>
  <si>
    <t>Writing results</t>
  </si>
  <si>
    <t>Formalizations of results</t>
  </si>
  <si>
    <t>Cross-validation of results</t>
  </si>
  <si>
    <t>Added to/modified from the initial schedule</t>
  </si>
  <si>
    <t>chiel1997brain</t>
  </si>
  <si>
    <t>The brain has a body: adaptive behavior emerges from interactions of nervous system, body and environment</t>
  </si>
  <si>
    <t>Chiel, Hillel J and Beer, Randall D</t>
  </si>
  <si>
    <t>Adaptive behaviour</t>
  </si>
  <si>
    <t>Trends in neurosciences</t>
  </si>
  <si>
    <t xml:space="preserve">Presents adaptive behaviour as behavior that enhances the survival and reproduction of an animal. It presents an understanding of the CNS as embedded in the body, and recursivelly embeded with the environment. Adaptive behavior is not produced by the brain in isolation. Sensory systems, motor systems, bodily constraints, and continuous feedback from the environment all shape the resulting behavior. </t>
  </si>
  <si>
    <t>Studies of mechanisms of adaptive behavior generally focus on neurons and circuits. But adaptive
behavior also depends on interactions among the nervous system,body and environment:sensory
preprocessing and motor post-processing filter inputs to and outputs from the nervous system;
co-evolution and co-development of nervous system and periphery create matching and
complementarity between them; body structure creates constraints and opportunities for neural
control; and continuous feedback between nervous system, body and environment are essential
for normal behavior.This broader view of adaptive behavior has been a major underpinning of
ecological psychology and has influenced behavior-based robotics. Computational neuroethology,
which jointly models neural control and periphery of animals, is a promising methodology for
understanding adaptive behavior.</t>
  </si>
  <si>
    <t>wessel2017globality</t>
  </si>
  <si>
    <t>wessel2017perceptual</t>
  </si>
  <si>
    <t>These results argue against the “deselection” hypothesis. Rather, CS suppression seems to arise from “impulse control” mechanisms that ensure that responses associated with potentially selected actions are not initiated prematurely. OPPOSITE OF PAUL!</t>
  </si>
  <si>
    <t>davis1939effects</t>
  </si>
  <si>
    <t>Davis, Pauline A</t>
  </si>
  <si>
    <t>Effects of acoustic stimuli on the waking human brain</t>
  </si>
  <si>
    <t>VP during awake evoked from auditory stimuli</t>
  </si>
  <si>
    <t>The size of the sensory prediction error the event delivers at the moment it arrives, measured in units of the expected variability of the channel it arrives on. Both a very intense stimulus and a very improbable one produce a large error: intensity widens the departure from the prediction, rarity narrows the prediction. This is a property of a sample: how improbable this event was.</t>
  </si>
  <si>
    <t>(0, 0.17, 0.33, 0.5, 0.67, 0.83, 1) = (none, near-threshold or frequent, detectable and common, suprathreshold and moderately rare, strong and rare, very intense and rare, maximal).</t>
  </si>
  <si>
    <r>
      <t>how large the error is before any explaining happens</t>
    </r>
    <r>
      <rPr>
        <sz val="11"/>
        <color theme="1"/>
        <rFont val="Calibri"/>
        <family val="2"/>
      </rPr>
      <t>.</t>
    </r>
    <r>
      <rPr>
        <i/>
        <sz val="11"/>
        <color theme="1"/>
        <rFont val="Calibri"/>
        <family val="2"/>
      </rPr>
      <t xml:space="preserve"> </t>
    </r>
  </si>
  <si>
    <t xml:space="preserve">This definition can be interpreted as the intuition behind defining it as "−log p of the event". However, this definition requires a model, are we assuming each paradigm has an assigned model?????? Double check with rory whether this scale makes sense with what we were discussing ieri. </t>
  </si>
  <si>
    <t>The capacity the task commits to computations that do not issue a motor command: perceptual discrimination, evidence accumulation, maintenance in memory, application of a learned rule. Exactly the same reading as x, transposed to the perceptual and cognitive side of the hierarchy — from no demand at all, through a comfortable single-feature judgement, to two streams held concurrently at their joint capacity limit.</t>
  </si>
  <si>
    <t>(0, 0.17, 0.33, 0.5, 0.67, 0.83, 1) = (none, monitoring/detection, easy discrimination, near-threshold or rule-based judgement, decision under uncertainty, working-memory or dual-task load, at capacity)</t>
  </si>
  <si>
    <t>The window over which the estimate stays open to revision, as y is the window over which the command stays open. From a judgement that closes at the response, through beliefs that carry across trials, to a hidden variable tracked continuously with no closing point.</t>
  </si>
  <si>
    <t>(0, 0.14, 0.29, 0.43, 0.57, 0.71, 0.86, 1) = (none, single closed judgement, revisable within trial, within-trial accumulation, across-trial learning, across-block adaptation, session-long tracking, open-ended)</t>
  </si>
  <si>
    <t>Intuition</t>
  </si>
  <si>
    <t>note</t>
  </si>
  <si>
    <t>how deep a model is needed to explain the event</t>
  </si>
  <si>
    <t>On the basis of computational studies it has been proposed that the central nervous
system internally simulatesthedynamicbehaviorofthe motorsystem in planning, control,
and learning; the existence and use of such an internal model is still under debate. A
sensorimotor integration task was investigated in which participants estimated the lo-
cation ofoneoftheir handsat theendofmovementsmadein thedarkand underexternally
imposed forces. The temporal propagation of errors in this task was analyzed within the
theoretical frameworkofoptimal state estimation. Theseresults providedirect supportfor
the existence of an internal model.</t>
  </si>
  <si>
    <t>Wolpert, D. M., &amp; Ghahramani, Z</t>
  </si>
  <si>
    <t>Computational principles of movement neuroscience</t>
  </si>
  <si>
    <t>wolpert2000computational</t>
  </si>
  <si>
    <t>nashed2012influence</t>
  </si>
  <si>
    <t>Influence of the behavioral goal and environmental obstacles on rapid feedback responses</t>
  </si>
  <si>
    <t>The computational and neural basis of voluntary motor control and planning</t>
  </si>
  <si>
    <t>Cortical control of reaching movements</t>
  </si>
  <si>
    <t>John F Kalaska, Stephen H Scott, Paul Cisek, Lauren E Sergio</t>
  </si>
  <si>
    <t>Could not download</t>
  </si>
  <si>
    <t>Recent studies provide further support for the hypothesis that spatial representations of limb position, target locations, and potential motor actions are expressed in the neuronal activity in parietal cortex. In contrast, precentral cortical activity more strongly expresses processes involved in the selection and execution of motor actions. As a general conceptual framework, these processes may be interpreted in terms of such formalisms as sensorimotor transformation and ‘internal models’.</t>
  </si>
  <si>
    <t>Optimal feedback control (OFC) provides a powerful tool to interpret voluntary motor control, highlighting the importance of sensory feedback in the control and planning of movement. Recent studies in the context of OFC have increasingly used mechanical perturbations and visual shifts to probe voluntary control processes. These studies reveal the surprising sophistication of corrective responses, which are goal-directed and exhibit knowledge of the physical properties of the limb and the environment. These complex feedback processes appear to be generated through transcortical feedback pathways. The research reviewed here opens and enhances several lines of discovery, including testing whether feedback corrections share all of the attributes associated with voluntary control, identifying how prediction influences optimal state estimation, and importantly, how these voluntary control processes are generated …</t>
  </si>
  <si>
    <t>Motor inhibition is a key control mechanism that allows humans to rapidly adapt their actions in response to environmental events. One of the hallmark signatures of rapidly exerted, reactive motor inhibition is the non-selective suppression of cortico-spinal excitability (CSE): unexpected sensory stimuli lead to a suppression of CSE across the entire motor system, even in muscles that are inactive. Theories suggest that this reflects a fast, automatic, and broad engagement of inhibitory control, which facilitates behavioral adaptations to unexpected changes in the sensory environment. However, it is an open question whether such non-selective CSE suppression is truly due to the unexpected nature of the sensory event, or whether it is sufficient for an event to be merely infrequent (but not unexpected). Here, we report data from two experiments in which human subjects experienced both unexpected and expected infrequent events during a two-alternative forced-choice reaction time task while CSE was measured from a task-unrelated muscle. We found that expected infrequent events can indeed produce non-selective CSE suppression—but only when they occur during movement initiation. In contrast, unexpected infrequent events produce non-selective CSE suppression relative to frequent, expected events even in the absence of movement initiation. Moreover, CSE suppression due to unexpected events occurs at shorter latencies compared to expected infrequent events. These findings demonstrate that unexpectedness and stimulus infrequency have qualitatively different suppressive effects on the motor system. They also have key implications for studies that seek to disentangle neural and psychological processes related to motor inhibition and stimulus detection.</t>
  </si>
  <si>
    <t>Feedback from the introduction at iteration 2: Salience detection” groups together several partly distinct constructs. Surprise, salience, novelty, infrequency, orienting, and reactive inhibition are related but not interchangeable. Iacullo et al. explicitly showed that unexpectedness and stimulus infrequency can produce different motor-suppression profiles and latencies</t>
  </si>
  <si>
    <t>Non-selective inhibition of the motor system following unexpected and expected infrequent events</t>
  </si>
  <si>
    <t>Carly Iacullo, Darcy A. Diesburg &amp; Jan R. Wessel</t>
  </si>
  <si>
    <t>hand perception task: sensorimotor integration task in which participants estimated the location of one of their hands at the end of movements made in the dark and under externally imposed forces.</t>
  </si>
  <si>
    <t>M. l. Jordan</t>
  </si>
  <si>
    <t>Handbook of Perception and Action: Motor Skills</t>
  </si>
  <si>
    <t xml:space="preserve">First reference in Wolpert 1995 (Internal models for sensorimotor integration), H. Heuer and S. Keele, Eds. (Academic Press, NewYork, 1995); M. Kawato, K. Furawaka, R. Suzuki, Biol. Cybern. 56, 1 (1987). Might be also interesting to read as historical first conceptualization of the internal models. </t>
  </si>
  <si>
    <t xml:space="preserve">Citation from Wolpert </t>
  </si>
  <si>
    <t>jordan1987handbook</t>
  </si>
  <si>
    <t>Citation for: The notion of an internal model, a system that mimics the behavior of a natural process, has emerged as an important theoretical concept in motor control</t>
  </si>
  <si>
    <t>OFC (Kalman filter)</t>
  </si>
  <si>
    <t xml:space="preserve">Reaching task in the dark (hence high difficulty since they lack visual feedback). And then they were requested to estimate the final position of their hand (non-motor task variables). If usually reaching is at 0.83 (cont + stationary difficulty) I'll place it in the middle of this and a tracking. Feedback: discrete (at the beginning of the trial they see the hand position) and then online (proprioceptive) correction of the movement. </t>
  </si>
  <si>
    <t>Perception task of the hand position: it is difficult discrimination</t>
  </si>
  <si>
    <t xml:space="preserve">null, assistive, and resistive force fields. </t>
  </si>
  <si>
    <t>Fla</t>
  </si>
  <si>
    <t>reaching in the dark with assistive/resistive/null force fields drawn across trials</t>
  </si>
  <si>
    <t>Behavioural evidence for an internal forward model: hand-position estimates evolve as predicted by optimal state estimation (usng a Kalman Filter model to reproduce the results and bring supportive evidence for the existence of this internal model).</t>
  </si>
  <si>
    <t xml:space="preserve">Internals models for sensorimotor integration. They observe a dependency of the bias of the participants in identifying their hand position depending on the external force field exerted in that trial (null, assistive, and resistive), but not in the variance of this bias. This was also reproduced by the kalman filter model. </t>
  </si>
  <si>
    <t xml:space="preserve"> They proposed that the central nervous system internally simulates the dynamic behavior of the motor system in planning, control, and learning. They explore the internal model underlying the sensorimotor integration with a hand perception task, finding strong evidence that the cerebellum implements internal model in the framework of optimal state estimation (i.e. OFC, and hence a forward internal model) predicting the sensory consequences of movement. Also interesting that in the notes at the end they compute this internal estimate using the Kalman Filter! They already distinguish forward from inverse internal models. Interesting references: felt lile pre-cursor of ACH: R. Sutton and A. Barto, Psychol. Rev. 88, 135 (1981). Basic reference for OFC, Kalman filter model application to hand reaching problems, internal models for sneosrimotor integrations, and interesting since it gives synthetized explanations of the sources of feedback, efference copy and etc concepts- </t>
  </si>
  <si>
    <t xml:space="preserve">Efference copy. </t>
  </si>
  <si>
    <t xml:space="preserve">The concept of motor prediction was first considered by Helmholtz when trying to understand how we localise visual objects. Hemsholtz suggested that the brain (for example to identify an object) predicted the gaze position based on a copy of the motor command acting on the eye muscles, termed efference copy. The concept of efference copy was firmly established by experimental work of Von Holst and Sperry in the 1950s. Then defines motor prediction as representing predictions (estimating future states given current states) of systems which are directly and usually immediately influenced by our motor commands. Also argues that internal models ar enot fixed and therefore need to be updated and learned. Forward models can be trained and updated using prediction errors. </t>
  </si>
  <si>
    <t xml:space="preserve">Review on the uses of motor prediction in sensorimotor control. They explore the central nervous system (CNS) role in describing the internal models for motor prediction for arm movement tasks. They introduce the concept of motor prediction by prediction the efference copy. </t>
  </si>
  <si>
    <t>No abstract, but last paragraph feels really interesting: In motor control, a forward model can be used to predict the sensory consequences of our actions. In perception of action we could use multiple forward models to make multiple predictions and, based on the correspondence between these predictions and the observed behaviour, we could infer which of our controllers would be used to generate the observed action. Finally, in social interaction, a forward social model could be used to predict the reactions of others to our actions. It may be that the same computational mechanisms which developed for sensorimotor prediction have adapted for other cognitive functions.</t>
  </si>
  <si>
    <t xml:space="preserve">No experiments, however they review some really interesting experients to be checked: tha force gripping, the self-tickling, the teapot lifting. </t>
  </si>
  <si>
    <t>Humans demonstrate a remarkable ability to generate accurate and appropriate motor behavior under many different and often uncertain
environmental conditions. In this paper, we propose a modular approach to such motor learning and control. We review the behavioral
evidence and benefits of modularity, and propose a new architecture based on multiple pairs of inverse (controller) and forward (predictor)
models. Within each pair, the inverse and forward models are tightly coupled both during their acquisition, through motor learning, and use,
during which the forward models determine the contribution of each inverse model’s output to the final motor command. This architecture
can simultaneously learn the multiple inverse models necessary for control as well as how to select the inverse models appropriate for a given
environment. Finally, we describe specific predictions of the model, which can be tested experimentally. 1998 Elsevier Science Ltd. All
rights reserved.</t>
  </si>
  <si>
    <t>Skim 20%</t>
  </si>
  <si>
    <t xml:space="preserve">They propose a modular approach to motor learning and control. </t>
  </si>
  <si>
    <t>Neural Networks</t>
  </si>
  <si>
    <t xml:space="preserve">Computational model suggested that integrates multiple coupled forward and inverse models, that is capable of learning and getting updated. Hence, the developed model is able to select behaviour based on the environment and also on the possible consequences of such action. </t>
  </si>
  <si>
    <t>Recent empirical studies have implicated the use of the motor system during action observation, imitation
and social interaction. In this paper, we explore the computational parallels between the processes that
occur in motor control and in action observation, imitation, social interaction and theory of mind. In
particular, we examine the extent to which motor commands acting on the body can be equated with
communicative signals acting on other people and suggest that computational solutions for motor control
may have been extended to the domain of social interaction.</t>
  </si>
  <si>
    <t>The Royal Society</t>
  </si>
  <si>
    <t>They explore computational parallels between the processes that occur in motor control and in action observation, imitation, social interaction and theory of mind</t>
  </si>
  <si>
    <t>Optimal feedback control (Internal models)</t>
  </si>
  <si>
    <t xml:space="preserve">Starts with the same sentence I like: Movement is the only way we have of interacting with the world, whether foraging for food or attracting a waiter’s attention!!! Important citing then if I use it in the motor control section. Suggests that all the computations used in motor control can be extended to social interaction (also theory of mind, action observation, etc). Really relevant to Sara, maybe it was in her thesis as well. There are some parts repeated from Wolpert 2001 (Motor prediction), and again explanation of both types of internal models. They introduce the MOSAIC (modular selection and identification for control) and hierarchical MOSAIC models, that apply to both motor control and social interaction. Intersting to finish reading. Again teapot example. </t>
  </si>
  <si>
    <t>SPECIFIC immediate electrical responses of the cerebral cortex to peripheral
stimulation have been described for the anesthetized and the unanesthetized
animal (see References for principal citations). More general and persist-
ent modifications of pre-existing activity, such as the initiation or the check-
ing of fast frequencies are also familiar (Bartley and Heinbecker, 1938;
Bremer, 1937a, b, c). In the human, the checking of the alpha rhythm
by opening the eyes, and, less regularly, by a sudden sound, was described
by Berger (1929) and widely confirmed by others (see References). But
immediate positive responses in the human to sounds or other stimuli have
received only scant attention, partly because they do not appear under all
conditions and partly because observers have feared being misled by arte-
facts due to muscular movement and particularly movements of the eyes
(cf. Rohracher, 1938; Travis, Knott, and Griffith, 1937; and Wessell and
Carmichael, 1938).
The present observations, made in 1935-36, now take on a special interest
because of their close relationship to the responses of the human brain dur-
ing sleep which are described in another paper (Davis, Davis, Loomis,
Harvey, and Hobart, 1939). They were obtained in 41 experiments on 38
adult men and women.</t>
  </si>
  <si>
    <t>Awake perception task in humans, while laying. In the laying, sometimes they had to open/close eyes (alpha subjects?)</t>
  </si>
  <si>
    <t>The loud tones were not intense enough to produce a startle reaction.</t>
  </si>
  <si>
    <t xml:space="preserve">Suggested after the asleep Davis lecture. Seems equivalent studies with awake brains. They study the neural evoked sgnals from auditory stimuli, the on-effects (precursore of the VP). </t>
  </si>
  <si>
    <t xml:space="preserve">Awake brain perceptual experiments: subjects lay in bed while listening to both loud and faint tones in the range of 250-2000 cycles (cycles of what? Hz?). Exp 1: while laying in a bed, subject was asked to open and close his eyes several times (that was before the task itself to calibrate or somehting). Durign the task, auditory stimulation was delivered to laying subjects that kept their eyes closed. The sequence of tones was 250, 500, 1000, and 2000 cycles, each being given twice, first as a faint, then as a loud tone. The duration of each tone was a few seconds and the interval between tones a longer period. The sequence was then reversed. Finally, the subject was told that the sound stimuli were going to be changed and put in irregularly without any preconceived arrangement. </t>
  </si>
  <si>
    <t xml:space="preserve">The record the responses to sudden sounds in the wake brain: on-effects (VP) or evoked-potentials. They identify on-effect composed by diphasic (sometimes triphasic?) and maximal in the electrode at the vertex. Latencies of the VP (total duration of 300ms, peaks and amplitude difference). </t>
  </si>
  <si>
    <t>Textbook, read for time series formalization (including the Kalman filter)</t>
  </si>
  <si>
    <t>papanicolaou1989selective</t>
  </si>
  <si>
    <t>Recommended by Giando as historical paper on salience detenction</t>
  </si>
  <si>
    <t>Cerebellum as state estimator in internal models</t>
  </si>
  <si>
    <t xml:space="preserve">Review about the possible hypothesis on the cerebellum keeping an internal model on the world, either as a forward model or as an inverse model. </t>
  </si>
  <si>
    <t>Trends in Cognitive Science</t>
  </si>
  <si>
    <t>This review will focus on the possibility that the cerebellum contains an internal model
or models of the motor apparatus. Inverse internal models can provide the neural
command necessary to achieve some desired trajectory. First, we review the necessity
of such a model and the evidence, based on the ocular following response, that inverse
models are found within the cerebellar circuitry. Forward internal models predict the
consequences of actions and can be used to overcome time delays associated with
feedback control. Secondly, we review the evidence that the cerebellum generates
predictions using such a forward model. Finally, we review a computational model that
includes multiple paired forward and inverse models and show how such an
arrangement can be advantageous for motor learning and control.</t>
  </si>
  <si>
    <t>Cerebellum keeping an internal model</t>
  </si>
  <si>
    <t>Internal models capturing the sensorimotor association between motor commands and their sensory effects in the environment (check also the corresponding section in latex). There are two types of internal models: forward and inverse models. Forward models represent the causal link between motor instructions issued by the brain and their outcome on the body and the environment. Inverse models, in contrast, provide the motor instructions appropriate to produce an intended change in action outcomes. Anatomically, internal models are believed to arise in the cerebellum and to interact with other regions of the central nervous system. They present different internal model architectures for how the cerebellums computes states estimates during motor control tasks. After reviewing them, they suggest that the cerebellum may act as a ‘Smith Predictor’: a forward model designed to control a system with long delays in feedback (i.e. long transport delays). The Smith Predictor works in this situation because it couples a forward model located within a high gain internal feedback loop with a model of the transport delays. IMPORTANT: to test their hypothesis on the cerebellum working as a smith predictor, they are currently (were, look for the paper if they published it afterwards!!) collecting single cell data from cerebellar cortical cells and testing whether their responses are more closely correlated with movement of the hand or with the cursor (a visual outcome of movement) in a mirror movement task ==&gt; we could also correlate our EEG data with both the limb position and the cursor data (where's the cursor data??)</t>
  </si>
  <si>
    <t>miall1996forward</t>
  </si>
  <si>
    <t>Possible refernce for forward models!</t>
  </si>
  <si>
    <t xml:space="preserve">They observed that the SEP to the pulse were greater in amplitude when the cutaneous stimulation was delivered to the same hand as a pulse. This effect was confined to the long-latency SEP. This indicates that selective attention to peripheral stimulation is a late process mediated by cortical mechanisms. </t>
  </si>
  <si>
    <t xml:space="preserve">They argue that selective attention depends on cortical mechanisms. They argue against the notion of suppresion of irrelevant stimulus channels in subcortical centers or in periphery. </t>
  </si>
  <si>
    <t>Short and long latency somatosensory evoked potentials (SEPs) to median nerve stimulation were recorded over the contralateral hemisphere. There were two models of selevtive attention (information selection). This could be relevant for the explanation of why we modulate the precision matrices in the tracking modelling!!!! Broadbent (e.g., 1958) considers selection an early processing stage, where irrelevant information channels are prevented from engaging higher information processing centers. Hence, selction of information is effected by filtering an early process that does not require evaluation of concurrent inputs. Also relevant other references (Hernandez-Peon 1955 or 1956) that show that auditory input was suppressed at the brainstem level of cats when competing inputs of greater evolutionary significance!! Check more relevant biography here. The second model, presented by Treisman and Beutsch treats selection as a late process: instead of merely being based on physical features of the input, its relevance is determined by cognitive evaluation (being therefore rather cortical)</t>
  </si>
  <si>
    <t>SEP</t>
  </si>
  <si>
    <t xml:space="preserve">somatosensory evoked potentials (SEP) were recorded during median nerve stimulation during a processing of continuous cutaneous stimulation task. 3 conditions were considered. During the control condition the subjects were instructed to attend and count to the number of electrical pulses delivered to the median nerve of their right hand. During the two other conditions they also got pulses on the dursal surface of one of their hands (adds hierarchy or magnitude of the surprise). This is, they had to count the cutaneuous stimulation on either hand, while the task-irrelevant SEP were delivered to the median nerve of the right hand. </t>
  </si>
  <si>
    <t>Selective attention</t>
  </si>
  <si>
    <t xml:space="preserve">200 ms electrical pulse delivered to the median nerve of the right hand. No motor task was required. </t>
  </si>
  <si>
    <t xml:space="preserve">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t>
  </si>
  <si>
    <t>papanicolaou1989selective_e1</t>
  </si>
  <si>
    <t>papanicolaou1989selective_e2</t>
  </si>
  <si>
    <t xml:space="preserve">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Here control task: only task-relevant pulses to count </t>
  </si>
  <si>
    <t>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 Here the complex task relevant stimuli (this will be s1) and the pulses are now task-irrelevant, s2</t>
  </si>
  <si>
    <t>Attention selection</t>
  </si>
  <si>
    <t xml:space="preserve">Short and long latency somatosensory evoked potentials (SEPs) to median nerve stimulation were recorded over the contralateral hemisphere. There were two models of selevtive attention (information selection). This could be relevant for the explanation of why we modulate the precision matrices in the tracking modelling!!!! Broadbent (e.g., 1958) considers selection an early processing stage, where irrelevant information channels are prevented from engaging higher information processing centers. Hence, selction of information is effected by filtering an early process that does not require evaluation of concurrent inputs. Also relevant other references (Hernandez-Peon 1955 or 1956) that show that auditory input was suppressed at the brainstem level of cats when competing inputs of greater evolutionary significance!! Check more relevant biography here. The second model, presented by Treisman and Beutsch treats selection as a late process: instead of merely being based on physical features of the input, its relevance is determined by cognitive evaluation (being therefore rather cortical). Their results are inconsistent witht he original predictions from either of the models. Instead their data suggests that in case of competing somatosensory inputs, selective attention is mediated by cortical rather than subcortical mechanisms, but that it operates on physically defined channels rather than on more subtle aspects of the stimulus input. </t>
  </si>
  <si>
    <t>Reading 40%</t>
  </si>
  <si>
    <t>Ongoing corrections</t>
  </si>
  <si>
    <t>Influence of the behavioral
goal and environmental obstacles on rapid feedback responses. J
Neurophysiol 108: 999 –1009, 2012. First published May 23, 2012;
doi:10.1152/jn.01089.2011.—The motor system must consider a va-
riety of environmental factors when executing voluntary motor ac-
tions, such as the shape of the goal or the possible presence of
intervening obstacles. It remains unknown whether rapid feedback
responses to mechanical perturbations also consider these factors. Our
first experiment quantified how feedback corrections were altered by
target shape, which was either a circular dot or a bar. Unperturbed
movements to each target were qualitatively similar on average but
with greater dispersion of end point positions when reaching to the
bar. On random trials, multijoint torque perturbations deviated the
hand left or right. When reaching to a circular target, perturbations
elicited corrective movements that were directed straight to the loca-
tion of the target. In contrast, corrective movements when reaching to
a bar were redirected to other locations along the bar axis. Our second
experiment quantified whether the presence of obstacles could inter-
fere with feedback corrections. We found that hand trajectories after
the perturbations were altered to avoid obstacles in the environment.
Importantly, changes in muscle activity reflecting the different target
shapes (bar vs. dot) or the presence of obstacles were observed in as
little as 70 ms. Such changes in motor responses were qualitatively
consistent with simulations based on optimal feedback control. Taken
together, these results highlight that long-latency motor responses
consider spatial properties of the goal and environment.</t>
  </si>
  <si>
    <t xml:space="preserve">Exp 1: They explored how feedback corrections are altered by target shape (circular dot or a bar) in a reaching task. On random trials multijoint torque perturbations deviated the hand left or right. Exp2: quantified whether the presence of obstacles could interfere with feedback corrections. </t>
  </si>
  <si>
    <t xml:space="preserve">Exp1: They found that when reaching to a circular target, perturbations elicited corrective movements that were directed straight to the location of the target. In contrast, corrective movements when reaching to a bar were redirected to other locations along the bar axis. Exp2: they found that hand trajectories after the perturbations were altered to avoid obstacles in the environment. </t>
  </si>
  <si>
    <t xml:space="preserve">They show in a reaching task with different targets and obstacles, that long-latency motor responses consider spatial properties of the goal and the environment. </t>
  </si>
  <si>
    <t>Journal Neurophysiol</t>
  </si>
  <si>
    <t xml:space="preserve">good for online correction after a movement perturbation; retain, but specify the perturbation and correction process. Possible useful review on feedback corrections to mechanical perturbations: Pruszynski and Scott 2012. </t>
  </si>
  <si>
    <t>nashed2012influence_e1</t>
  </si>
  <si>
    <t>nashed2012influence_e2</t>
  </si>
  <si>
    <t>Reaching task with KINARM</t>
  </si>
  <si>
    <t xml:space="preserve">Exp1: reaching task with different target shape with mechanical perturbation. Upon trial completion, subjects were notified as to whether they attained predetermined speed and accuracy criteria. Hence they had continuous proprioceptive feedback of their movement but no online visual feedback during the movement. </t>
  </si>
  <si>
    <t>They just have one target, so they don't event need to discriminate or choose. They just need to online correct their trajectories (which is pure motor and perception of the stimulation??)</t>
  </si>
  <si>
    <t>Exp2: Osbtacle reaching task with mechanical perturbation. Subjects perfored reaching with and without obstacles.  Collision with an obstacle resulted in haptic feedback such that a repulsive force was generated, which impeded hand movement, so this would be one of the surprise? Hence we have to add the type of target in the previous as really relevant surprise</t>
  </si>
  <si>
    <t>step torques (either flexion or extension) were applied to the limb when the hand was 5 cm beyond the start targe. Hence, surprise is step torque + 1/2 probab to have it to either direction. + we should also add the target shape as surprise 3</t>
  </si>
  <si>
    <t xml:space="preserve">z3 axis (external surprise hierarchy): </t>
  </si>
  <si>
    <t xml:space="preserve">tr3 axis (Task relevance of the external stimuli): </t>
  </si>
  <si>
    <t>ts3 axis(magnitude of external surprise)</t>
  </si>
  <si>
    <t>Surprise is kinda the same, but this time the presence or not of the obstacles is less task relevant than the target shape</t>
  </si>
  <si>
    <t>They had an extra exp 3 (seems requested from reviewers): similar to exp 1 but this time the perturbation was artificially induced in muscular activity (instead of a mechanical perturbation)</t>
  </si>
  <si>
    <t>Reading 70%</t>
  </si>
  <si>
    <t>novembre2018saliency_e1</t>
  </si>
  <si>
    <t>novembre2018saliency_e2</t>
  </si>
  <si>
    <t>novembre2018saliency_e3</t>
  </si>
  <si>
    <t>novembre2018saliency_e4</t>
  </si>
  <si>
    <t>Survival in a suddenly-changing environment requires animals not only to detect salient stimuli, but also to
promptly respond to them by initiating or revising ongoing motor processes. We recently discovered that the large
vertex brain potentials elicited by sudden supramodal stimuli are strongly coupled with a multiphasic modulation
of isometric force, a phenomenon that we named cortico-muscular resonance (CMR). Here, we extend our
investigation of the CMR to the time-frequency domain. We show that (i) both somatosensory and auditory
stimuli evoke a number of phase-locked and non-phase-locked modulations of EEG spectral power. Remarkably,
(ii) some of these phase-locked and non-phase-locked modulations are also present in the Force spectral power.
Finally, (iii) EEG and Force time-frequency responses are correlated in two distinct regions of the power spectrum.
An early, low-frequency region (~4 Hz) re ects the previously-described coupling between the phase-locked EEG
vertex potential and force modulations. A late, higher-frequency region (beta-band, ~20 Hz) re ects a second
coupling between the non-phase-locked increase of power observed in both EEG and Force. In both time-
frequency regions, coupling was maximal over the sensorimotor cortex contralateral to the hand exerting the
force, suggesting an effect of the stimuli on the tonic corticospinal drive. Thus, stimulus-induced CMR occurs
across at least two different types of cortical activities, whose functional signi cance in relation to the motor
system should be investigated further. We propose that these different types of corticomuscular coupling are
important to alter motor behaviour in response to salient environmental events.</t>
  </si>
  <si>
    <t xml:space="preserve">Core to surprise-evoked sensorimotor theme: Salient stimuli transiently modulate ongoing isometric force, neural oscillations, and their coupling. &amp;
Motor (force) modulation extension from the previous 2018 study, that extend CRM to the time-frequency domain. </t>
  </si>
  <si>
    <t xml:space="preserve">Seems like the same experimental setup as the paper from 2018: Participants were instructed to perform an isometric motor task: applying a constant force on a transducer using the thumb and index nger of the right
hand, while keeping their eyes closed. Meanwhile, we delivered either somatosensory stimuli (electrical stimulation of the left median nerve) or acoustic stimuli (through a loudspeaker placed close to the participant's left hand). All stimuli were isolated, fast-rising and non-task-relevant. The timing of the stimuli and their order were randomized. EEG and force were recorded simultaneously. But this time they measured EEG and force to compare the power spaces instead of the frequency ones. Equivalent to experiment 1 of 2018: single pulse of either somatosensory or auditory stimuli. </t>
  </si>
  <si>
    <t>Same as 2018 exp 1</t>
  </si>
  <si>
    <t>They extend the coupling of the EEG and muscular force to the spectral power space. First, they show that somatosensory and auditory stimuli elicited similar modulations of spectral power in both EEG and Force measures. Second, they identify two time-frequency regions where stimulus-induced EEG and Force modulations were coupled: the phase-lockes modulations that have been demonstrated to be coupled in the time domain (2018 novemeber paper), and the non-phase-locked increase of power observed in both EEG and force. Thus, stimulus-induced corticomuscular coupling occurs across at least two different types of cortical activities.</t>
  </si>
  <si>
    <t>Proposes a unified neural mechanism for reactive adaptive behaviour (RAB).</t>
  </si>
  <si>
    <t>Skim 30%</t>
  </si>
  <si>
    <t xml:space="preserve">Interesting for references of first experimental designs in global motor suppression after unexpected events (also a similar example to mine with the light is presented for the different types of unexpected events). They use this example to illustrate three different types of unexpected events: action errors, unexpected action outcomes, and unexpected perceptual events. Examples of interesting references: Motor slowing after errors was first reported by Rabbitt (1966) and Laming (1968). Participants performed speeded forced-choice manual RT tasks. </t>
  </si>
  <si>
    <t>Now published (was SSRN preprint). This might need a second lecture!</t>
  </si>
  <si>
    <t xml:space="preserve">Scored </t>
  </si>
  <si>
    <t>Extralemniscal Sofi paper, important to reference for all the extralemniscal and surprise topic (printed). Perhaps second lecture to verify the scoring</t>
  </si>
  <si>
    <t>Reading 50%</t>
  </si>
  <si>
    <t>Reading 20%</t>
  </si>
  <si>
    <t>Vertex potentials are reported to be recordable over wide areas, Gastaut et al., Walter, Vaughan, Goff et al., and others have reported that vertex evoked potentials are elicited by stimuli from several sensory modalities. Their data (1 subject) suggest that these potentials, especially a peak with a latency of about 200 ms, reflect the activity of a sophisticated dynamic control function with remarkably precise features. Our prime concern is the ability of the central nervous system to differentiate between states of "sensory rest" and "motion". I have two clynes papers to read! Add both of them in this data set!</t>
  </si>
  <si>
    <t>The notes were in the printed version, recover the notes and add here</t>
  </si>
  <si>
    <t>Skim 40%</t>
  </si>
  <si>
    <t xml:space="preserve">Motor control in crickets? Voluntary movements?? </t>
  </si>
  <si>
    <t>Mathematical definition: surprise is the negative log expectation of the probability, something unexpected is highly surprising. Low level expectation: There inverses</t>
  </si>
  <si>
    <t>Abrupt, sudden and fast-rising are interexchangeable:</t>
  </si>
  <si>
    <t>Notes from meeting:</t>
  </si>
  <si>
    <t>lanillos2021active</t>
  </si>
  <si>
    <t>Active inference in robotics and artificial agents: Survey and challenges</t>
  </si>
  <si>
    <t>Lanillos, Pablo and Meo, Cristian and Pezzato, Corrado and Meera, Ajith Anil and Baioumy, Mohamed and Ohata, Wataru and Tschantz, Alexander and Millidge, Beren and Wisse, Martijn and Buckley, Christopher L and others</t>
  </si>
  <si>
    <t>Active Inference</t>
  </si>
  <si>
    <t>Active inference is a mathematical framework which
originated in computational neuroscience as a theory of how the
brain implements action, perception and learning. Recently, it
has been shown to be a promising approach to the problems
of state-estimation and control under uncertainty, as well as
a foundation for the construction of goal-driven behaviours in
robotics and artificial agents in general. Here, we review the
state-of-the-art theory and implementations of active inference
for state-estimation, control, planning and learning; describing
current achievements with a particular focus on robotics. We
showcase relevant experiments that illustrate its potential in
terms of adaptation, generalization and robustness. Furthermore,
we connect this approach with other frameworks and discuss its
expected benefits and challenges: a unified framework with func-
tional biological plausibility using variational Bayesian inference.</t>
  </si>
  <si>
    <t>pezzato2023active</t>
  </si>
  <si>
    <t>Active inference and behavior trees for reactive action planning and execution in robotics</t>
  </si>
  <si>
    <t>Pezzato, Corrado and Corbato, Carlos Hern{\'a}ndez and Bonhof, Stefan and Wisse, Martijn</t>
  </si>
  <si>
    <t>In this article, we propose a hybrid combination of
active inference and behavior trees (BTs) for reactive action plan-
ning and execution in dynamic environments, showing how robotic
tasks can be formulated as a free-energy minimization problem.
The proposed approach allows handling partially observable ini-
tial states and improves the robustness of classical BTs against
unexpected contingencies while at the same time reducing the
number of nodes in a tree. In this work, we specify the nominal
behavior offline, through BTs. However, in contrast to previous
approaches, we introduce a new type of leaf node to specify the
desired state to be achieved rather than an action to execute. The
decision of which action to execute to reach the desired state is
performed online through active inference. This results in continual
online planning and hierarchical deliberation. By doing so, an
agent can follow a predefined offline plan while still keeping the
ability to locally adapt and take autonomous decisions at runtime,
respecting safety constraints. We provide proof of convergence and
robustness analysis, and we validate our method in two different
mobile manipulators performing similar tasks, both in a simulated
and real retail environment. The results showed improved runtime
adaptability with a fraction of the hand-coded nodes compared to
classical BTs.</t>
  </si>
  <si>
    <t>IEEE Transactions on Robotics</t>
  </si>
  <si>
    <t xml:space="preserve"> Active inference is a mathematical framework
that originated in computational neuroscience. Recently, it has
been demonstrated as a promising approach for constructing
goal-driven behavior in robotics. Specifically, the active
inference controller (AIC) has been successful on several
continuous control and state-estimation tasks. Despite its
relative success, some established design choices lead to a
number of practical limitations for robot control. These include
having a biased estimate of the state, and only an implicit
model of control actions. In this paper, we highlight these
limitations and propose an extended version of the unbiased
active inference controller (u-AIC). The u-AIC maintains all
the compelling benefits of the AIC and removes its limitations.
Simulation results on a 2-DOF arm and experiments on a real
7-DOF manipulator show the improved performance of the
u-AIC with respect to the standard AIC.</t>
  </si>
  <si>
    <t>More adaptive controllers for robot manipulators are
needed, which can deal with large model uncertainties. This letter
presents a novel active inference controller (AIC) as an adaptive
control scheme for industrial robots. This scheme is easily scalable
to high degrees-of-freedom, and it maintains high performance
even in the presence of large unmodeled dynamics. The proposed
method is based on active inference, a promising neuroscientific
theory of the brain, which describes a biologically plausible al-
gorithm for perception and action. In this work, we formulate
active inference from a control perspective, deriving a model-free
control law which is less sensitive to unmodeled dynamics. The
performance and the adaptive properties of the algorithm are
compared to a state-of-the-art model reference adaptive controller
(MRAC) in an experimental setup with a real 7-DOF robot arm.
The results showed that the AIC outperformed the MRAC in
terms of adaptability, providing a more general control law. This
confirmed the relevance of active inference for robot control.</t>
  </si>
  <si>
    <t>Structure:</t>
  </si>
  <si>
    <t>Results</t>
  </si>
  <si>
    <t>Overleaf without EEG and unnecessary parts</t>
  </si>
  <si>
    <t>Predictive coding</t>
  </si>
  <si>
    <t>Reading 30%</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</si>
  <si>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 Conclusion: Darkened Room scenarios are among the most popular reasons for scepticism
concerning the most extreme explanatory aspirations of predictive processing.
Standard replies to such worries can seem ad hoc, asserting that evolved agents
simply‘expect’ to play, to explore, and to experience epistemically useful
amounts of novelty and surprise. But things look better once when the PP
story is expanded to include patterns of sub-cortical influence and complex
training enivironments. Talk of‘expectations’ of play and novelty then stand
revealed as a kind of shorthand for these webs of interacting processes whose
combined effect is to ensure that prediction-error minimizing agents keep busy,
harvesting information and improving their overall model of embodied ex-
change with the world. In our remarkably social species, this process runs via
designer environments such as art, literature, music, and science. Our
prediction-error-minimizing brains are thus immersed in exotic statistical baths
that enforce exploration and novelty-seeking in ways hitherto unknown among
terrestrial animals.</t>
  </si>
  <si>
    <t>Prediction mismatch from environmental surprise being formalized through predictive coding. They consider the human brain as a minimizer of prediction error signals: signals that encode the difference between the expected and actual sensory stimulations (here no prediction of sensory consequences of self of externally generated events, they synthetize it as actual and expected sensory stimulations). Interesting for the saliency aprt. Interesting also  how it explains hierarchical architectures: could be used int he part of theory of hierarchical and in some argumentation of the hAIF model. This papers seems a good link of active inference with the surprise literature: "The resulting picture is one in which perception and action are complementary manifestations of a single adaptive regime, whose core operating principle is the reduction of precise, organism-salient prediction error." 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t>
  </si>
  <si>
    <t>friston2012free</t>
  </si>
  <si>
    <t>Friston, Karl and Thornton, Christopher and Clark, Andy</t>
  </si>
  <si>
    <t>Free-energy minimization and the dark-room problem</t>
  </si>
  <si>
    <t>Recent years have seen the emergence of an important new fundamental theory of brain
function. This theory brings information-theoretic, Bayesian, neuroscientific, and machine
learning approaches into a single framework whose overarching principle is the minimiza-
tion of surprise (or, equivalently, the maximization of expectation).The most comprehensive
such treatment is the “free-energy minimization” formulation due to Karl Friston (see e.g.,
Friston and Stephan, 2007; Friston, 2010a,b – see also Fiorillo, 2010; Thornton, 2010). A
recurrent puzzle raised by critics of these models is that biological systems do not seem to
avoid surprises. We do not simply seek a dark, unchanging chamber, and stay there. This is
the “Dark-Room Problem.” Here, we describe the problem and further unpack the issues
to which it speaks. Using the same format as the prolog of Eddington’s Space, Time, and
Gravitation (Eddington, 1920) we present our discussion as a conversation between: an
information theorist (Thornton), a physicist (Friston), and a philosopher (Clark).</t>
  </si>
  <si>
    <t>Dark rom problem from clark2018nice</t>
  </si>
  <si>
    <t>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t>
  </si>
  <si>
    <t>Frontiers in psychology</t>
  </si>
  <si>
    <t>Presents a critic view of the free-energy principle, arguing that biological systems do not seem to avoid surprises (as it is claimed by the minimization of the free-energy/surprise)</t>
  </si>
  <si>
    <t>friston2011embodied</t>
  </si>
  <si>
    <t>Embodied inference: Or I think therefore I am, if I am what I think</t>
  </si>
  <si>
    <t xml:space="preserve">Presents a solution to the Death Trap worry about free-energy minimization, claiming that we simply do not 'expect' to sit still and die in dark nutrition-less corners. </t>
  </si>
  <si>
    <t>The implications of embodiment (Cognition and Communication)</t>
  </si>
  <si>
    <t>Dark rom problem from clark2018nice (answer)</t>
  </si>
  <si>
    <t>End of the Intro to the chapter: In summary, embodiment plays a fundamental and bilateral role in
the free-energy formulation. On the one hand, agents embody (model)
causal structure in the environment. On the other hand, the physical
instantiation of this model is embodied in the environment. Only when
the two are mutually compatible can the agent exist. This necessarily
implies a low free-energy, which bounds the evidence for a model or
hypothesis about an agent’s milieu. As the long-term average of negative
log-evidence is the entropy of an agent’s sensory states, these low free-
energy solutions implicitly resist a tendency to disorder and enable orga-
nisms to violate the second law of thermodynamics.</t>
  </si>
  <si>
    <t>Cited by Friston</t>
  </si>
  <si>
    <t>The Bayesian brain hypothesis uses Bayesian probability theory to formulate perception as a constructive process based on internal or generative models. The underlying idea is that the brain has a model of the world that it tries to optimise using sensory inputs. In other words, the brain is an inference machine that actively predicts and explains its sensations</t>
  </si>
  <si>
    <t>We propose a formal Bayesian definition of surprise to capture subjective aspects of sensory information.
Surprise measures how data affects an observer, in terms of differences between posterior and prior
beliefs about the world. Only data observations which substantially affect the observer’s beliefs yield sur-
prise, irrespectively of how rare or informative in Shannon’s sense these observations are. We test the
framework by quantifying the extent to which humans may orient attention and gaze towards surprising
events or items while watching television. To this end, we implement a simple computational model
where a low-level, sensory form of surprise is computed by simple simulated early visual neurons. Bayes-
ian surprise is a strong attractor of human attention, with 72% of all gaze shifts directed towards locations
more surprising than the average, a figure rising to 84% when focusing the analysis onto regions simul-
taneously selected by all observers. The proposed theory of surprise is applicable across different spatio-
temporal scales, modalities, and levels of abstraction</t>
  </si>
  <si>
    <t xml:space="preserve">Formal Bayesian definition of surprise to capture subjective aspects of sensory information. Bayesian surprise was invoked in this work to explain sampling in models of visual search and salience. They had a task in which subjects were watching television and they could measure their attention by recording their orientation and gaze towards surprising events in the short. They also built a computational model based on Bayesian surprise: in which a low-level sensory for of surprise was computed by simulating early visual neurons. </t>
  </si>
  <si>
    <t>They designed a task in which subjects were watching television while events with different surprise levels were presented. The attention subjects paid to those surprising events was measured by recording their orientation and gaze.</t>
  </si>
  <si>
    <t>Surprise detection; Bayesian surprise</t>
  </si>
  <si>
    <t xml:space="preserve">Bayesian surprise attracts human attention in dynamic natural scenes. </t>
  </si>
  <si>
    <t>Read 80%</t>
  </si>
  <si>
    <t>Bayesian Surprise</t>
  </si>
  <si>
    <t>Task consisted on passivelly watching videos. Observers were instructed to follow the stimuli’s main actors and actions, so that their gaze shifts reflected an active search for nonspecific information of subjective interest. Do we want to consider saccades as motor?? We probably should, but they had no feedback window, although they were constantly paying attention to the vieos. I am tempted to put the motor timescale to 1, in case the videos are completelly naturalistic and there's freely viewing in continuous environments. However, i'll keep it in the middle (LLM placed it at 1)</t>
  </si>
  <si>
    <t xml:space="preserve">I am again tempted to score the surprise hierarchy as 1, since it is naturalistic, and the videos stimuli are supposed to reflect surprise when having main actors or actions. However, there is no further specification. </t>
  </si>
  <si>
    <t>Here, I am again tempted to increase the difficulty, since they had to identify the actors or actions, and pay attention to them, it was not only passivelly watching (0.17: Watch, listen, stay alert; detect an obvious event.)</t>
  </si>
  <si>
    <t xml:space="preserve">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 Really interesting chapter of a book, presenting active inference as an embodied process of the body within the environment, placing also the environment as embodied by us, and therefore our bodies. Also argues the concept: "I think therefore I am, iff I am what I think", from the point of view of how we predict ourselves within our internal model, and how we cease to exist if we exist in some states that are nor probable from our understanding of what we are. Interesting schemes of limb reaching, with the hierarchical structure of hAIF+PC. </t>
  </si>
  <si>
    <t>Objective In the past few years there has been a growing interest in studying brain functioning in natural, real-life situations. Mobile EEG allows to study the brain in real unconstrained environments but it faces the intrinsic challenge that it is impossible to disentangle observed changes in brain activity due to increase in cognitive demands by the complex natural environment or due to the physical involvement. In this work we aim to disentangle the influence of cognitive demands and distractions that arise from such outdoor unconstrained recordings. Approach We evaluate the ERP and single trial characteristics of a three-class auditory oddball paradigm recorded in outdoor scenario’s while peddling on a fixed bike or biking freely around. In addition we also carefully evaluate the trial specific motion artifacts through independent gyro measurements and control for muscle artifacts. Main results A decrease in P300 amplitude was observed in the free biking condition as compared to the fixed bike conditions. Above chance P300 single-trial classification in highly dynamic real life environments while biking outdoors was achieved. Certain significant artifact patterns were identified in the free biking condition, but neither these nor the increase in movement (as derived from continuous gyrometer measurements) can explain the differences in classification accuracy and P300 waveform differences with full clarity. The increased cognitive load in real-life scenarios is shown to play a major role in the observed differences. Significance Our findings suggest that auditory oddball results measured in natural real-life scenarios are influenced mainly by increased cognitive load due to being in an unconstrained environment.</t>
  </si>
  <si>
    <t>Our findings suggest that auditory oddball results measured in natural real-life scenarios are influenced mainly by increased cognitive load due to being in an unconstrained environment. A decrease in P300 amplitude was observed in the free biking condition as compared to the fixed bike conditions. Above chance P300 single-trial classification in highly dynamic real life environments while biking outdoors was achieved.</t>
  </si>
  <si>
    <t>zink2016mobile_e1</t>
  </si>
  <si>
    <t>zink2016mobile_e2</t>
  </si>
  <si>
    <t>zink2016mobile_e3</t>
  </si>
  <si>
    <t>We evaluate the ERP and single trial characteristics of a three-class auditory oddball paradigm recorded in outdoor scenario’s while peddling on a fixed bike or biking freely around. Here the sitting condition</t>
  </si>
  <si>
    <t>We evaluate the ERP and single trial characteristics of a three-class auditory oddball paradigm recorded in outdoor scenario’s while peddling on a fixed bike or biking freely around. Here the peddling condition with the static bike</t>
  </si>
  <si>
    <t xml:space="preserve">We evaluate the ERP and single trial characteristics of a three-class auditory oddball paradigm recorded in outdoor scenario’s while peddling on a fixed bike or biking freely around. Here the free moving biking condition in a naturalistic environment. </t>
  </si>
  <si>
    <t>Reading 60%</t>
  </si>
  <si>
    <t>Sitting task</t>
  </si>
  <si>
    <t>Peddling in the static bike</t>
  </si>
  <si>
    <t>The participants task was to silently count the target tones and ignore the two other tones. For all the conditions</t>
  </si>
  <si>
    <t>The surprise comes from an oddball paradigm: A three-class oddball auditory task a standard tone (900Hz) and two deviant tones (either 600 or 1200Hz), of 62ms duration (10ms rise/fall) were presented binaurally through low-cost consumer headphones in random order</t>
  </si>
  <si>
    <t xml:space="preserve">Naturalistic biking: The third condition involved biking freely around on a 500m course on campus for the period of the experiment </t>
  </si>
  <si>
    <t xml:space="preserve">Move condition involved regular streets with traffic (i.e. mostly pedestrians and cyclists, very few cars). Note that during all recordings, subjects were outdoors exposed to naturally occuring (sound) distraction (e.g. insects which seemed to be attracted to the gel, wind, car traffic noise and people passing by). Here, also adding the neturalistic environment surprise to the model. The biking route (move condition) was predefined and practiced before the start of the experiment: hence surprising but could be more since they pre-practiced it. </t>
  </si>
  <si>
    <t>An auditory oddball brain–computer interface for binary choices</t>
  </si>
  <si>
    <t>S. Halder, M. Rea, R. Andreoni, F. Nijboer, E.M. Hammer,  S.C. Kleih, N. Birbaumer, and A. K ̈ubler</t>
  </si>
  <si>
    <t>halder2009auditory</t>
  </si>
  <si>
    <t xml:space="preserve">Three-stimulus oddball paradigm: this paradigm is similar to the standard oddball but includes an additional target (i.e. two target stimuli, one frequent stimulus). Three versions of the task were evaluated in which the target stimuli differed in loudness, pitch or direction. </t>
  </si>
  <si>
    <t xml:space="preserve">We evaluate the ERP and single trial characteristics of a three-class auditory oddball paradigm recorded in outdoor scenario’s while peddling on a fixed bike or biking freely around. In the three-class odball, we have two target and one standard, and half of the subjects were told to pay attention to one of the target while the other half were told to pay attention to the other one. </t>
  </si>
  <si>
    <t xml:space="preserve">The surprise comes from an oddball paradigm: A three-class oddball auditory task a standard tone (900Hz) and two deviant tones (either 600 or 1200Hz), of 62ms duration (10ms rise/fall) were presented binaurally through low-cost consumer headphones in random order. In the three-class odball, we have two target and one standard, and half of the subjects were told to pay attention to one of the target while the other half were told to pay attention to the other one. </t>
  </si>
  <si>
    <t>The amplitude of motor-evoked potentials (MEPs) elicited by transcranial magnetic stimulation (TMS) over the motor cortex is influenced by multiple factors. TMS delivery is accompanied by an abrupt clicking noise which can induce a startle response. This study investigated how masking/attenuating the sound produced by the TMS system discharging influences MEP amplitudes. In addition, the effects of increasing the time between consecutive stimuli and of making participants aware of the time at which they would be stimulated were studied. MEPs were recorded from the Flexor Carpi Radialis (FCR) muscle at rest by stimulation at motor threshold (MT), 120% MT and 140% MT intensity. Participants (N = 23) received stimulation under normal (NORMAL) conditions and while: wearing sound-attenuating earmuffs (EAR); listening to white noise (NOISE); the interval between stimuli were prolonged (LONG); stimulation timing was presented on a screen (READY). The results showed that masking (p = 0.020) and attenuating (p = 0.004) the incoming sound significantly reduced the amplitude of MEPs recorded across the intensities of stimulation. Increasing the interval between pulses had no effect on the recorded traces if a jitter was introduced (p = 1), but making participants aware of stimulation timing decreased MEP amplitudes (p = 0.049). These findings suggest that the sound produced by TMS at discharging increases MEP amplitudes and that MEP amplitudes are influenced by stimulus expectation. These confounding factors need to be considered when using TMS to assess corticospinal excitability</t>
  </si>
  <si>
    <t>They recorded MEPs by delivering TMS (magnetic stimulation to the left motor area M1) at three intensities: 100% of MT; 120% of MT; 140% of MT. A total of six different stimulation conditions (outlined below) were completed and the respective MEPs recorded for each participant</t>
  </si>
  <si>
    <t>capozio_effect_2021_e1</t>
  </si>
  <si>
    <t>capozio_effect_2021_e2</t>
  </si>
  <si>
    <t>capozio_effect_2021_e3</t>
  </si>
  <si>
    <t>capozio_effect_2021_e4</t>
  </si>
  <si>
    <t>capozio_effect_2021_e5</t>
  </si>
  <si>
    <t>capozio_effect_2021e_6</t>
  </si>
  <si>
    <t>They recorded MEPs by delivering TMS (magnetic stimulation to the left motor area M1) at three intensities: 100% of MT; 120% of MT; 140% of MT. A total of six different stimulation conditions (outlined below) were completed and the respective MEPs recorded for each participant. Normal condition: classic TMS protocol. Participants were asked to relax throughout the stimulation, maintaining their eyes open but without paying attention to any visual cue. The IPI between successive stimuli varied between 4 and 6 s (20% jitter). A total of 30 (3 intensities × 10 traces) MEPs were collected during this phase. The total duration of the sequence was approximately 3 mins.</t>
  </si>
  <si>
    <t>Normal condition: classic TMS protocol. Participants were asked to relax throughout the stimulation, maintaining their eyes open but without paying attention to any visual cue. The IPI between successive stimuli varied between 4 and 6 s (20% jitter). A total of 30 (3 intensities × 10 traces) MEPs were collected during this phase. The total duration of the sequence was approximately 3 mins.</t>
  </si>
  <si>
    <t>Ear condition: the sound from the TMS stiulation was attenuated (should we add the sound to an extra surprise, that this one does not have?)</t>
  </si>
  <si>
    <t>Surp 1 is the TMS. Surp 2 is the clicking sound of the TMS (they focus on the study of the effects of these sounds)</t>
  </si>
  <si>
    <t>Noise condition: Participants were asked to wear closed-back headphones through which white noise (frequency range 20–20,000 Hz) at 83 dB of intensity as measured through sound level meter was played while stimulating M1 and recording MEPs. Instead of attenuating they had an extra sound masking the clincking sound. (it was constant) So we can say that it was more complex hierarchically since it is a white noise, but hardly detective</t>
  </si>
  <si>
    <t>Long condition: This condition was designed to estimate the effects of increasing the IPI on the recorded MEPs. The IPI between successive stimuli varied between 8 and 12 s (20% jitter), since acoustic stimulus habituation is not observed at longer (&gt; 5 s) IPIs: this increases therefore the magnitude of the surprise, since there is no habituation</t>
  </si>
  <si>
    <t>Ready condition: The same parameters used for the LONG condition were employed for the READY condition: IPIs varying between 8 and 12 s (20% jitter) and a total of 30 (3 intensities × 10 traces) collected responses. But participants also got visual feedback in the form of a stopwatch informing them on the time when they would receive the next stimulus (countdown to 00:00)</t>
  </si>
  <si>
    <t>Mix condition: condition in which long (8–12 s) and short (4–6 s) IPSs were randomly intermixed.</t>
  </si>
  <si>
    <t xml:space="preserve">This one could be used as a probability distribution taking into account the avg+sd from the experiments considered in this paper. </t>
  </si>
  <si>
    <t>Salient and fast-rising sensory events generate a large biphasic vertex wave (VW) in
the human electroencephalogram (EEG). We recently reported that the VW is coupled with a
modulation of concomitantly-applied isometric force. In the present study, in five experiments,
we tested whether the VW is also related to high-precision visuomotor control. We obtained three
results. First, the saliency-induced increase in VW amplitude was paralleled by a modulation in
two of the five extracted movement parameters: a reduction in the onset time of the voluntary
movement (P &lt; 0.005) and an increase in movement accuracy (P &lt; 0.005). Second, spontaneous
trial-by-trial variability in vertex wave amplitude, for a given level of stimulus saliency, was positively correlated with movement onset time (P &lt;0.001 in four out of five experiments). Third,
this latter trial-by-trial correlation was explained by a widespread EEG negativity independent of
the occurrence of the positive VW, although overlapping in time with it. These results indicate
that (i) the execution of a voluntary high-precision movement remains relatively independent
of the neural processing reflected by the preceding VW, with (ii) the exception of movement
onset time, for which saliency-based contextual effects are dissociated from trial-by-trial effects.
These results also indicate that (iii) attentional effects can produce spurious correlations between
event-related potentials (ERPs) and behavioural measures. Although sudden salient stimuli trigger
characteristic EEG responses coupled with distinct reactive components within an ongoing iso-
metric task, the results of the present study indicate that the execution of a subsequent voluntary
movement appears largely protected from such saliency-based modulation, with the exception of
movement onset time.</t>
  </si>
  <si>
    <t>The execution of a voluntary high-precision movement remains relatively independent of the brain activity reflected by the preceding VW</t>
  </si>
  <si>
    <t>Although sudden salient stimuli trigger characteristic EEG responses coupled with distinct reactive components within an ongoing isometric task, the results of the present study indicate that the execution of a subsequent voluntary movement appears largely protected from such saliency-based modulation, with the exception of movement onset time.</t>
  </si>
  <si>
    <t>Participants performed a visuomotor task as fast and accurately as possible, during which their EEG activity was recorded.</t>
  </si>
  <si>
    <t>kilintari2018high_e1</t>
  </si>
  <si>
    <t>kilintari2018high_e2</t>
  </si>
  <si>
    <t>kilintari2018high_e3</t>
  </si>
  <si>
    <t>kilintari2018high_e4</t>
  </si>
  <si>
    <t>kilintari2018high_e5</t>
  </si>
  <si>
    <t>Participants performed a visuomotor task as fast and accurately as possible, during which their EEG activity was recorded. They had 5 different experimental paradigms with different stimuli patterns</t>
  </si>
  <si>
    <t>Exp 5: No stimuli were delivered</t>
  </si>
  <si>
    <t>participants received either somatosensory or auditory stimuli, which were delivered either individually (Experiments 3 and 4)</t>
  </si>
  <si>
    <t>Stimuli presented in 1 Hz trains of three stimuli (Experiments 1 and 2): sequence of 3: sometimes all from the same modality, sometimes the last comes from a different modality: hence s1 the sequence, s2 within the seq each stim</t>
  </si>
  <si>
    <t>participants were required to execute a visuomotor task, consisting of performing a single continuous clockwise movement of a cursor displayed on a screen, by sliding the right index finger over a touchpad. before the subjects performed the movement, task-irrelevant auditory or somatosensory stimuli were delivered using different paradigms (Experiments 1–4). In exp 5 no stimuli were delivered. Participants were instructed to attend only the visual ‘go’ signal, and ignore the preceding auditory and somatosensory stimuli, when present (i.e. in Experiments 1–4). They were also instructed to perform the task as quickly and accurately as possible.</t>
  </si>
  <si>
    <t>fla</t>
  </si>
  <si>
    <t>garrido_outlier_2013_e1</t>
  </si>
  <si>
    <t>garrido_outlier_2013_e2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</si>
</sst>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charset val="1"/>
    </font>
    <font>
      <sz val="11"/>
      <color theme="1"/>
      <name val="Calibri"/>
      <family val="2"/>
      <charset val="1"/>
    </font>
    <font>
      <b/>
      <sz val="16"/>
      <color rgb="FF1F3864"/>
      <name val="Calibri"/>
      <family val="2"/>
      <charset val="1"/>
    </font>
    <font>
      <i/>
      <sz val="11"/>
      <color theme="1"/>
      <name val="Calibri"/>
      <family val="2"/>
      <charset val="1"/>
    </font>
    <font>
      <b/>
      <sz val="13"/>
      <color rgb="FF2E5496"/>
      <name val="Calibri"/>
      <family val="2"/>
      <charset val="1"/>
    </font>
    <font>
      <sz val="11"/>
      <color rgb="FFC00000"/>
      <name val="Calibri"/>
      <family val="2"/>
      <charset val="1"/>
    </font>
    <font>
      <b/>
      <sz val="11"/>
      <color rgb="FFFFFFFF"/>
      <name val="Calibri"/>
      <family val="2"/>
      <charset val="1"/>
    </font>
    <font>
      <b/>
      <sz val="11"/>
      <color rgb="FFFFFFFF"/>
      <name val="Arial"/>
      <family val="2"/>
      <charset val="1"/>
    </font>
    <font>
      <b/>
      <sz val="11"/>
      <color theme="0"/>
      <name val="Calibri"/>
      <family val="2"/>
      <charset val="1"/>
    </font>
    <font>
      <sz val="10"/>
      <color rgb="FF1F3864"/>
      <name val="Calibri"/>
      <family val="2"/>
      <charset val="1"/>
    </font>
    <font>
      <i/>
      <sz val="10"/>
      <color rgb="FF444444"/>
      <name val="Calibri"/>
      <family val="2"/>
      <charset val="1"/>
    </font>
    <font>
      <sz val="11"/>
      <name val="Arial"/>
      <family val="2"/>
      <charset val="1"/>
    </font>
    <font>
      <i/>
      <sz val="10"/>
      <color rgb="FF555555"/>
      <name val="Calibri"/>
      <family val="2"/>
      <charset val="1"/>
    </font>
    <font>
      <sz val="10"/>
      <color theme="1"/>
      <name val="Calibri"/>
      <family val="2"/>
      <charset val="1"/>
    </font>
    <font>
      <b/>
      <sz val="10"/>
      <color theme="1"/>
      <name val="Calibri"/>
      <family val="2"/>
      <charset val="1"/>
    </font>
    <font>
      <b/>
      <sz val="12"/>
      <name val="Arial"/>
      <family val="2"/>
      <charset val="1"/>
    </font>
    <font>
      <b/>
      <sz val="11"/>
      <name val="Arial"/>
      <family val="2"/>
      <charset val="1"/>
    </font>
    <font>
      <sz val="11"/>
      <color rgb="FF000000"/>
      <name val="Calibri"/>
      <family val="2"/>
      <charset val="1"/>
    </font>
    <font>
      <sz val="10"/>
      <name val="Arial"/>
      <family val="2"/>
      <charset val="1"/>
    </font>
    <font>
      <b/>
      <sz val="10"/>
      <name val="Arial"/>
      <family val="2"/>
      <charset val="1"/>
    </font>
    <font>
      <b/>
      <sz val="10"/>
      <color rgb="FFFFFFFF"/>
      <name val="Arial"/>
      <family val="2"/>
      <charset val="1"/>
    </font>
    <font>
      <b/>
      <sz val="11"/>
      <color theme="2"/>
      <name val="Calibri"/>
      <family val="2"/>
      <charset val="1"/>
    </font>
    <font>
      <b/>
      <sz val="11"/>
      <color theme="1"/>
      <name val="Calibri"/>
      <family val="2"/>
      <charset val="1"/>
    </font>
    <font>
      <sz val="11"/>
      <color theme="1"/>
      <name val="Calibri"/>
      <family val="2"/>
    </font>
    <font>
      <i/>
      <sz val="11"/>
      <color theme="1"/>
      <name val="Calibri"/>
      <family val="2"/>
    </font>
    <font>
      <b/>
      <sz val="11"/>
      <color theme="0"/>
      <name val="Calibri"/>
      <family val="2"/>
    </font>
    <font>
      <sz val="11"/>
      <color rgb="FF000000"/>
      <name val="Calibri"/>
      <family val="2"/>
    </font>
    <font>
      <b/>
      <sz val="10"/>
      <color rgb="FFFF0000"/>
      <name val="Arial"/>
      <family val="2"/>
      <charset val="1"/>
    </font>
    <font>
      <sz val="10"/>
      <color rgb="FFFF0000"/>
      <name val="Arial"/>
      <family val="2"/>
      <charset val="1"/>
    </font>
  </fonts>
  <fills count="18">
    <fill>
      <patternFill patternType="none"/>
    </fill>
    <fill>
      <patternFill patternType="gray125"/>
    </fill>
    <fill>
      <patternFill patternType="solid">
        <fgColor rgb="FF1F3864"/>
        <bgColor rgb="FF444444"/>
      </patternFill>
    </fill>
    <fill>
      <patternFill patternType="solid">
        <fgColor theme="8"/>
        <bgColor rgb="FF4F81BD"/>
      </patternFill>
    </fill>
    <fill>
      <patternFill patternType="solid">
        <fgColor rgb="FF2F5597"/>
        <bgColor rgb="FF2E5496"/>
      </patternFill>
    </fill>
    <fill>
      <patternFill patternType="solid">
        <fgColor theme="4"/>
        <bgColor rgb="FF4BACC6"/>
      </patternFill>
    </fill>
    <fill>
      <patternFill patternType="solid">
        <fgColor rgb="FFEAEFF7"/>
        <bgColor rgb="FFDEEAF6"/>
      </patternFill>
    </fill>
    <fill>
      <patternFill patternType="solid">
        <fgColor rgb="FFDEEAF6"/>
        <bgColor rgb="FFEAEFF7"/>
      </patternFill>
    </fill>
    <fill>
      <patternFill patternType="solid">
        <fgColor rgb="FFE2EFDA"/>
        <bgColor rgb="FFDEEAF6"/>
      </patternFill>
    </fill>
    <fill>
      <patternFill patternType="solid">
        <fgColor rgb="FF2E5496"/>
        <bgColor rgb="FF2F5597"/>
      </patternFill>
    </fill>
    <fill>
      <patternFill patternType="solid">
        <fgColor rgb="FFD6E0F0"/>
        <bgColor rgb="FFE6E0EC"/>
      </patternFill>
    </fill>
    <fill>
      <patternFill patternType="solid">
        <fgColor rgb="FFFFFFFF"/>
        <bgColor rgb="FFEAEFF7"/>
      </patternFill>
    </fill>
    <fill>
      <patternFill patternType="solid">
        <fgColor theme="7" tint="0.79979857783745845"/>
        <bgColor rgb="FFD6E0F0"/>
      </patternFill>
    </fill>
    <fill>
      <patternFill patternType="solid">
        <fgColor theme="8" tint="0.59978026673177287"/>
        <bgColor rgb="FFD6E0F0"/>
      </patternFill>
    </fill>
    <fill>
      <patternFill patternType="solid">
        <fgColor rgb="FF92D050"/>
        <bgColor rgb="FFBFBFBF"/>
      </patternFill>
    </fill>
    <fill>
      <patternFill patternType="solid">
        <fgColor rgb="FF00B050"/>
        <bgColor rgb="FF008080"/>
      </patternFill>
    </fill>
    <fill>
      <patternFill patternType="solid">
        <fgColor theme="7" tint="0.79998168889431442"/>
        <bgColor indexed="64"/>
      </patternFill>
    </fill>
    <fill>
      <patternFill patternType="solid">
        <fgColor theme="8"/>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14">
    <xf numFmtId="0" fontId="0" fillId="0" borderId="0" xfId="0"/>
    <xf numFmtId="0" fontId="8" fillId="3" borderId="0" xfId="0" applyFont="1" applyFill="1" applyAlignment="1">
      <alignment horizontal="center" vertical="center"/>
    </xf>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8" fillId="5" borderId="0" xfId="0" applyFont="1" applyFill="1" applyAlignment="1">
      <alignment horizontal="center" vertical="center"/>
    </xf>
    <xf numFmtId="0" fontId="8" fillId="5" borderId="0" xfId="0" applyFont="1" applyFill="1" applyAlignment="1">
      <alignment horizontal="center" vertical="center" wrapText="1"/>
    </xf>
    <xf numFmtId="0" fontId="9" fillId="6" borderId="1" xfId="0" applyFont="1" applyFill="1" applyBorder="1" applyAlignment="1">
      <alignment vertical="center" wrapText="1"/>
    </xf>
    <xf numFmtId="0" fontId="1" fillId="6" borderId="1" xfId="0" applyFont="1" applyFill="1" applyBorder="1" applyAlignment="1">
      <alignment vertical="center" wrapText="1"/>
    </xf>
    <xf numFmtId="1" fontId="1"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0" fontId="11" fillId="7" borderId="0" xfId="0" applyFont="1" applyFill="1"/>
    <xf numFmtId="0" fontId="11" fillId="0" borderId="0" xfId="0" applyFont="1"/>
    <xf numFmtId="0" fontId="11" fillId="8" borderId="0" xfId="0" applyFont="1" applyFill="1"/>
    <xf numFmtId="0" fontId="9" fillId="0" borderId="1" xfId="0" applyFont="1" applyBorder="1" applyAlignment="1">
      <alignment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xf>
    <xf numFmtId="0" fontId="10" fillId="0" borderId="1" xfId="0" applyFont="1" applyBorder="1" applyAlignment="1">
      <alignment vertical="center" wrapText="1"/>
    </xf>
    <xf numFmtId="0" fontId="1" fillId="6" borderId="1" xfId="0" applyFont="1" applyFill="1" applyBorder="1" applyAlignment="1">
      <alignment horizontal="center" vertical="center"/>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vertical="center"/>
    </xf>
    <xf numFmtId="0" fontId="1" fillId="6" borderId="0" xfId="0" applyFont="1" applyFill="1" applyAlignment="1">
      <alignment vertical="center" wrapText="1"/>
    </xf>
    <xf numFmtId="0" fontId="1" fillId="0" borderId="1" xfId="0" applyFont="1" applyBorder="1" applyAlignment="1">
      <alignment horizontal="left" vertical="center" wrapText="1" indent="1"/>
    </xf>
    <xf numFmtId="0" fontId="0" fillId="0" borderId="0" xfId="0" applyAlignment="1">
      <alignment vertical="center"/>
    </xf>
    <xf numFmtId="0" fontId="1" fillId="0" borderId="1" xfId="0" applyFont="1" applyBorder="1" applyAlignment="1">
      <alignment vertical="center"/>
    </xf>
    <xf numFmtId="0" fontId="11" fillId="7" borderId="0" xfId="0" applyFont="1" applyFill="1" applyAlignment="1">
      <alignment vertical="center"/>
    </xf>
    <xf numFmtId="0" fontId="11" fillId="0" borderId="0" xfId="0" applyFont="1" applyAlignment="1">
      <alignment vertical="center"/>
    </xf>
    <xf numFmtId="0" fontId="11" fillId="8" borderId="0" xfId="0" applyFont="1" applyFill="1" applyAlignment="1">
      <alignment vertical="center"/>
    </xf>
    <xf numFmtId="0" fontId="1" fillId="0" borderId="0" xfId="0" applyFont="1" applyAlignment="1">
      <alignment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0" fillId="0" borderId="1" xfId="0" applyFont="1" applyBorder="1" applyAlignment="1">
      <alignment horizontal="center" vertical="center" wrapText="1"/>
    </xf>
    <xf numFmtId="0" fontId="0" fillId="0" borderId="0" xfId="0" applyAlignment="1">
      <alignment horizontal="center" vertical="center"/>
    </xf>
    <xf numFmtId="0" fontId="9" fillId="6" borderId="2" xfId="0" applyFont="1" applyFill="1" applyBorder="1" applyAlignment="1">
      <alignment vertical="center" wrapText="1"/>
    </xf>
    <xf numFmtId="0" fontId="1" fillId="6" borderId="2" xfId="0" applyFont="1" applyFill="1" applyBorder="1" applyAlignment="1">
      <alignment vertical="center" wrapText="1"/>
    </xf>
    <xf numFmtId="0" fontId="1" fillId="6" borderId="0" xfId="0" applyFont="1" applyFill="1" applyAlignment="1">
      <alignment horizontal="center" vertical="center"/>
    </xf>
    <xf numFmtId="0" fontId="10" fillId="6" borderId="0" xfId="0" applyFont="1" applyFill="1" applyAlignment="1">
      <alignment vertical="center" wrapText="1"/>
    </xf>
    <xf numFmtId="0" fontId="9" fillId="0" borderId="2" xfId="0" applyFont="1" applyBorder="1" applyAlignment="1">
      <alignment vertical="center" wrapText="1"/>
    </xf>
    <xf numFmtId="0" fontId="1" fillId="0" borderId="2" xfId="0" applyFont="1" applyBorder="1" applyAlignment="1">
      <alignment vertical="center" wrapText="1"/>
    </xf>
    <xf numFmtId="1" fontId="1" fillId="0" borderId="0" xfId="0" applyNumberFormat="1" applyFont="1" applyAlignment="1">
      <alignment horizontal="center" vertical="center"/>
    </xf>
    <xf numFmtId="0" fontId="10" fillId="0" borderId="0" xfId="0" applyFont="1" applyAlignment="1">
      <alignment vertical="center" wrapText="1"/>
    </xf>
    <xf numFmtId="0" fontId="1" fillId="0" borderId="0" xfId="0" applyFont="1" applyAlignment="1">
      <alignment wrapText="1"/>
    </xf>
    <xf numFmtId="0" fontId="9" fillId="6" borderId="0" xfId="0" applyFont="1" applyFill="1" applyAlignment="1">
      <alignment vertical="center" wrapText="1"/>
    </xf>
    <xf numFmtId="0" fontId="1" fillId="0" borderId="2" xfId="0" applyFont="1" applyBorder="1"/>
    <xf numFmtId="0" fontId="10" fillId="0" borderId="2" xfId="0" applyFont="1" applyBorder="1" applyAlignment="1">
      <alignment vertical="center" wrapText="1"/>
    </xf>
    <xf numFmtId="0" fontId="9" fillId="0" borderId="0" xfId="0" applyFont="1" applyAlignment="1">
      <alignment vertical="center" wrapText="1"/>
    </xf>
    <xf numFmtId="0" fontId="1" fillId="0" borderId="3" xfId="0" applyFont="1" applyBorder="1" applyAlignment="1">
      <alignment vertical="center" wrapText="1"/>
    </xf>
    <xf numFmtId="0" fontId="2" fillId="0" borderId="0" xfId="0" applyFont="1"/>
    <xf numFmtId="0" fontId="12" fillId="0" borderId="0" xfId="0" applyFont="1"/>
    <xf numFmtId="0" fontId="6" fillId="9" borderId="0" xfId="0" applyFont="1" applyFill="1" applyAlignment="1">
      <alignment horizontal="left" vertical="center"/>
    </xf>
    <xf numFmtId="0" fontId="6" fillId="9" borderId="0" xfId="0" applyFont="1" applyFill="1" applyAlignment="1">
      <alignment horizontal="center" vertical="center"/>
    </xf>
    <xf numFmtId="0" fontId="13" fillId="10" borderId="1" xfId="0" applyFont="1" applyFill="1" applyBorder="1" applyAlignment="1">
      <alignment vertical="center" wrapText="1"/>
    </xf>
    <xf numFmtId="0" fontId="13" fillId="10" borderId="1" xfId="0" applyFont="1" applyFill="1" applyBorder="1" applyAlignment="1">
      <alignment horizontal="center" vertical="center"/>
    </xf>
    <xf numFmtId="0" fontId="13" fillId="11" borderId="1" xfId="0" applyFont="1" applyFill="1" applyBorder="1" applyAlignment="1">
      <alignment vertical="center" wrapText="1"/>
    </xf>
    <xf numFmtId="0" fontId="14" fillId="6" borderId="1" xfId="0" applyFont="1" applyFill="1" applyBorder="1"/>
    <xf numFmtId="0" fontId="14" fillId="6" borderId="1" xfId="0" applyFont="1" applyFill="1" applyBorder="1" applyAlignment="1">
      <alignment horizontal="center"/>
    </xf>
    <xf numFmtId="0" fontId="15" fillId="0" borderId="0" xfId="0" applyFont="1" applyAlignment="1">
      <alignment vertical="top" wrapText="1"/>
    </xf>
    <xf numFmtId="0" fontId="11" fillId="0" borderId="0" xfId="0" applyFont="1" applyAlignment="1">
      <alignment vertical="top" wrapText="1"/>
    </xf>
    <xf numFmtId="0" fontId="16" fillId="0" borderId="0" xfId="0" applyFont="1" applyAlignment="1">
      <alignment vertical="top" wrapText="1"/>
    </xf>
    <xf numFmtId="0" fontId="17" fillId="0" borderId="0" xfId="0" applyFont="1"/>
    <xf numFmtId="0" fontId="1" fillId="12" borderId="0" xfId="0" applyFont="1" applyFill="1"/>
    <xf numFmtId="0" fontId="5" fillId="0" borderId="0" xfId="0" applyFont="1"/>
    <xf numFmtId="0" fontId="18" fillId="0" borderId="0" xfId="0" applyFont="1" applyAlignment="1">
      <alignment vertical="top" wrapText="1"/>
    </xf>
    <xf numFmtId="0" fontId="19" fillId="0" borderId="0" xfId="0" applyFont="1" applyAlignment="1">
      <alignment vertical="top" wrapText="1"/>
    </xf>
    <xf numFmtId="0" fontId="20" fillId="2" borderId="0" xfId="0" applyFont="1" applyFill="1" applyAlignment="1">
      <alignment vertical="top" wrapText="1"/>
    </xf>
    <xf numFmtId="0" fontId="0" fillId="11" borderId="0" xfId="0" applyFill="1"/>
    <xf numFmtId="0" fontId="22" fillId="13" borderId="4" xfId="0" applyFont="1" applyFill="1" applyBorder="1" applyAlignment="1">
      <alignment horizontal="center"/>
    </xf>
    <xf numFmtId="0" fontId="1" fillId="0" borderId="4" xfId="0" applyFont="1" applyBorder="1"/>
    <xf numFmtId="0" fontId="0" fillId="14" borderId="5" xfId="0" applyFill="1" applyBorder="1"/>
    <xf numFmtId="0" fontId="0" fillId="14" borderId="6" xfId="0" applyFill="1" applyBorder="1"/>
    <xf numFmtId="0" fontId="0" fillId="11" borderId="5" xfId="0" applyFill="1" applyBorder="1"/>
    <xf numFmtId="0" fontId="0" fillId="11" borderId="6" xfId="0" applyFill="1" applyBorder="1"/>
    <xf numFmtId="0" fontId="0" fillId="15" borderId="5" xfId="0" applyFill="1" applyBorder="1"/>
    <xf numFmtId="0" fontId="0" fillId="15" borderId="6" xfId="0" applyFill="1" applyBorder="1"/>
    <xf numFmtId="0" fontId="0" fillId="11" borderId="7" xfId="0" applyFill="1" applyBorder="1"/>
    <xf numFmtId="0" fontId="0" fillId="15" borderId="0" xfId="0" applyFill="1"/>
    <xf numFmtId="0" fontId="23" fillId="16" borderId="0" xfId="0" applyFont="1" applyFill="1"/>
    <xf numFmtId="0" fontId="23" fillId="0" borderId="0" xfId="0" applyFont="1"/>
    <xf numFmtId="0" fontId="24" fillId="0" borderId="0" xfId="0" applyFont="1"/>
    <xf numFmtId="0" fontId="25" fillId="17" borderId="0" xfId="0" applyFont="1" applyFill="1" applyAlignment="1">
      <alignment horizontal="center" vertical="center"/>
    </xf>
    <xf numFmtId="0" fontId="1" fillId="0" borderId="0" xfId="0" applyFont="1" applyAlignment="1">
      <alignment horizontal="left"/>
    </xf>
    <xf numFmtId="1" fontId="1" fillId="6" borderId="0" xfId="0" applyNumberFormat="1" applyFont="1" applyFill="1" applyAlignment="1">
      <alignment horizontal="center" vertical="center"/>
    </xf>
    <xf numFmtId="0" fontId="17" fillId="0" borderId="0" xfId="0" applyFont="1" applyAlignment="1">
      <alignment vertical="center" wrapText="1"/>
    </xf>
    <xf numFmtId="1" fontId="1" fillId="0" borderId="2" xfId="0" applyNumberFormat="1" applyFont="1" applyBorder="1" applyAlignment="1">
      <alignment horizontal="center" vertical="center"/>
    </xf>
    <xf numFmtId="0" fontId="26" fillId="0" borderId="0" xfId="0" applyFont="1"/>
    <xf numFmtId="0" fontId="8" fillId="3" borderId="0" xfId="0" applyFont="1" applyFill="1" applyAlignment="1">
      <alignment horizontal="center" vertical="center"/>
    </xf>
    <xf numFmtId="0" fontId="19" fillId="0" borderId="0" xfId="0" applyFont="1" applyAlignment="1">
      <alignment horizontal="center" vertical="top" wrapText="1"/>
    </xf>
    <xf numFmtId="0" fontId="21" fillId="3" borderId="4" xfId="0" applyFont="1" applyFill="1" applyBorder="1" applyAlignment="1">
      <alignment horizontal="center"/>
    </xf>
    <xf numFmtId="0" fontId="22" fillId="0" borderId="4" xfId="0" applyFont="1" applyBorder="1" applyAlignment="1">
      <alignment horizontal="center" vertical="center" wrapText="1"/>
    </xf>
    <xf numFmtId="0" fontId="9" fillId="0" borderId="0" xfId="0" applyFont="1" applyBorder="1" applyAlignment="1">
      <alignment vertical="center" wrapText="1"/>
    </xf>
    <xf numFmtId="0" fontId="1" fillId="0" borderId="0" xfId="0" applyFont="1" applyBorder="1"/>
    <xf numFmtId="0" fontId="9" fillId="6" borderId="0" xfId="0" applyFont="1" applyFill="1" applyBorder="1" applyAlignment="1">
      <alignment vertical="center" wrapText="1"/>
    </xf>
    <xf numFmtId="0" fontId="0" fillId="0" borderId="1" xfId="0" applyBorder="1"/>
    <xf numFmtId="0" fontId="1" fillId="0" borderId="0" xfId="0" applyFont="1" applyBorder="1" applyAlignment="1">
      <alignment vertical="center" wrapText="1"/>
    </xf>
    <xf numFmtId="0" fontId="1" fillId="6" borderId="0" xfId="0" applyFont="1" applyFill="1" applyBorder="1" applyAlignment="1">
      <alignment vertical="center" wrapText="1"/>
    </xf>
    <xf numFmtId="1" fontId="1" fillId="0" borderId="0" xfId="0" applyNumberFormat="1" applyFont="1" applyBorder="1" applyAlignment="1">
      <alignment horizontal="center" vertical="center"/>
    </xf>
    <xf numFmtId="1" fontId="1" fillId="6" borderId="0" xfId="0" applyNumberFormat="1" applyFont="1" applyFill="1" applyBorder="1" applyAlignment="1">
      <alignment horizontal="center" vertical="center"/>
    </xf>
    <xf numFmtId="0" fontId="1" fillId="6" borderId="0" xfId="0" applyFont="1" applyFill="1" applyBorder="1" applyAlignment="1">
      <alignment horizontal="center" vertical="center"/>
    </xf>
    <xf numFmtId="0" fontId="1" fillId="0" borderId="0" xfId="0" applyFont="1" applyBorder="1" applyAlignment="1">
      <alignment wrapText="1"/>
    </xf>
    <xf numFmtId="0" fontId="10" fillId="6" borderId="0" xfId="0" applyFont="1" applyFill="1" applyBorder="1" applyAlignment="1">
      <alignment vertical="center" wrapText="1"/>
    </xf>
    <xf numFmtId="0" fontId="10" fillId="0" borderId="0" xfId="0" applyFont="1" applyBorder="1" applyAlignment="1">
      <alignment vertical="center" wrapText="1"/>
    </xf>
    <xf numFmtId="0" fontId="1" fillId="0" borderId="2" xfId="0" applyFont="1" applyBorder="1" applyAlignment="1">
      <alignment wrapText="1"/>
    </xf>
    <xf numFmtId="0" fontId="27" fillId="0" borderId="0" xfId="0" applyFont="1" applyAlignment="1">
      <alignment vertical="top" wrapText="1"/>
    </xf>
    <xf numFmtId="0" fontId="28" fillId="0" borderId="0" xfId="0" applyFont="1" applyAlignment="1">
      <alignment vertical="top"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6E0EC"/>
      <rgbColor rgb="FFDEEAF6"/>
      <rgbColor rgb="FF660066"/>
      <rgbColor rgb="FFFF8080"/>
      <rgbColor rgb="FF2F5597"/>
      <rgbColor rgb="FFD6E0F0"/>
      <rgbColor rgb="FF000080"/>
      <rgbColor rgb="FFFF00FF"/>
      <rgbColor rgb="FFFFFF00"/>
      <rgbColor rgb="FF00FFFF"/>
      <rgbColor rgb="FF800080"/>
      <rgbColor rgb="FF800000"/>
      <rgbColor rgb="FF008080"/>
      <rgbColor rgb="FF0000FF"/>
      <rgbColor rgb="FF00CCFF"/>
      <rgbColor rgb="FFEAEFF7"/>
      <rgbColor rgb="FFE2EFDA"/>
      <rgbColor rgb="FFFFFF99"/>
      <rgbColor rgb="FFB7DEE8"/>
      <rgbColor rgb="FFFF99CC"/>
      <rgbColor rgb="FFCC99FF"/>
      <rgbColor rgb="FFD9D9D9"/>
      <rgbColor rgb="FF3366FF"/>
      <rgbColor rgb="FF4BACC6"/>
      <rgbColor rgb="FF92D050"/>
      <rgbColor rgb="FFFFCC00"/>
      <rgbColor rgb="FFFF9900"/>
      <rgbColor rgb="FFFF6600"/>
      <rgbColor rgb="FF4F81BD"/>
      <rgbColor rgb="FF969696"/>
      <rgbColor rgb="FF1F3864"/>
      <rgbColor rgb="FF00B050"/>
      <rgbColor rgb="FF003300"/>
      <rgbColor rgb="FF555555"/>
      <rgbColor rgb="FF993300"/>
      <rgbColor rgb="FF993366"/>
      <rgbColor rgb="FF2E549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topic</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994B-714B-963B-ADFB2910BE41}"/>
              </c:ext>
            </c:extLst>
          </c:dPt>
          <c:dPt>
            <c:idx val="1"/>
            <c:invertIfNegative val="1"/>
            <c:bubble3D val="0"/>
            <c:spPr>
              <a:solidFill>
                <a:srgbClr val="000000"/>
              </a:solidFill>
              <a:ln w="0">
                <a:noFill/>
              </a:ln>
            </c:spPr>
            <c:extLst>
              <c:ext xmlns:c16="http://schemas.microsoft.com/office/drawing/2014/chart" uri="{C3380CC4-5D6E-409C-BE32-E72D297353CC}">
                <c16:uniqueId val="{00000003-994B-714B-963B-ADFB2910BE41}"/>
              </c:ext>
            </c:extLst>
          </c:dPt>
          <c:dPt>
            <c:idx val="2"/>
            <c:invertIfNegative val="1"/>
            <c:bubble3D val="0"/>
            <c:spPr>
              <a:solidFill>
                <a:srgbClr val="000000"/>
              </a:solidFill>
              <a:ln w="0">
                <a:noFill/>
              </a:ln>
            </c:spPr>
            <c:extLst>
              <c:ext xmlns:c16="http://schemas.microsoft.com/office/drawing/2014/chart" uri="{C3380CC4-5D6E-409C-BE32-E72D297353CC}">
                <c16:uniqueId val="{00000005-994B-714B-963B-ADFB2910BE41}"/>
              </c:ext>
            </c:extLst>
          </c:dPt>
          <c:dPt>
            <c:idx val="3"/>
            <c:invertIfNegative val="1"/>
            <c:bubble3D val="0"/>
            <c:spPr>
              <a:solidFill>
                <a:srgbClr val="000000"/>
              </a:solidFill>
              <a:ln w="0">
                <a:noFill/>
              </a:ln>
            </c:spPr>
            <c:extLst>
              <c:ext xmlns:c16="http://schemas.microsoft.com/office/drawing/2014/chart" uri="{C3380CC4-5D6E-409C-BE32-E72D297353CC}">
                <c16:uniqueId val="{00000007-994B-714B-963B-ADFB2910BE41}"/>
              </c:ext>
            </c:extLst>
          </c:dPt>
          <c:dPt>
            <c:idx val="4"/>
            <c:invertIfNegative val="1"/>
            <c:bubble3D val="0"/>
            <c:spPr>
              <a:solidFill>
                <a:srgbClr val="000000"/>
              </a:solidFill>
              <a:ln w="0">
                <a:noFill/>
              </a:ln>
            </c:spPr>
            <c:extLst>
              <c:ext xmlns:c16="http://schemas.microsoft.com/office/drawing/2014/chart" uri="{C3380CC4-5D6E-409C-BE32-E72D297353CC}">
                <c16:uniqueId val="{00000009-994B-714B-963B-ADFB2910BE41}"/>
              </c:ext>
            </c:extLst>
          </c:dPt>
          <c:dPt>
            <c:idx val="5"/>
            <c:invertIfNegative val="1"/>
            <c:bubble3D val="0"/>
            <c:spPr>
              <a:solidFill>
                <a:srgbClr val="000000"/>
              </a:solidFill>
              <a:ln w="0">
                <a:noFill/>
              </a:ln>
            </c:spPr>
            <c:extLst>
              <c:ext xmlns:c16="http://schemas.microsoft.com/office/drawing/2014/chart" uri="{C3380CC4-5D6E-409C-BE32-E72D297353CC}">
                <c16:uniqueId val="{0000000B-994B-714B-963B-ADFB2910BE41}"/>
              </c:ext>
            </c:extLst>
          </c:dPt>
          <c:dPt>
            <c:idx val="6"/>
            <c:invertIfNegative val="1"/>
            <c:bubble3D val="0"/>
            <c:spPr>
              <a:solidFill>
                <a:srgbClr val="000000"/>
              </a:solidFill>
              <a:ln w="0">
                <a:noFill/>
              </a:ln>
            </c:spPr>
            <c:extLst>
              <c:ext xmlns:c16="http://schemas.microsoft.com/office/drawing/2014/chart" uri="{C3380CC4-5D6E-409C-BE32-E72D297353CC}">
                <c16:uniqueId val="{0000000D-994B-714B-963B-ADFB2910BE41}"/>
              </c:ext>
            </c:extLst>
          </c:dPt>
          <c:dPt>
            <c:idx val="7"/>
            <c:invertIfNegative val="1"/>
            <c:bubble3D val="0"/>
            <c:spPr>
              <a:solidFill>
                <a:srgbClr val="000000"/>
              </a:solidFill>
              <a:ln w="0">
                <a:noFill/>
              </a:ln>
            </c:spPr>
            <c:extLst>
              <c:ext xmlns:c16="http://schemas.microsoft.com/office/drawing/2014/chart" uri="{C3380CC4-5D6E-409C-BE32-E72D297353CC}">
                <c16:uniqueId val="{0000000F-994B-714B-963B-ADFB2910BE41}"/>
              </c:ext>
            </c:extLst>
          </c:dPt>
          <c:dPt>
            <c:idx val="8"/>
            <c:invertIfNegative val="1"/>
            <c:bubble3D val="0"/>
            <c:spPr>
              <a:solidFill>
                <a:srgbClr val="000000"/>
              </a:solidFill>
              <a:ln w="0">
                <a:noFill/>
              </a:ln>
            </c:spPr>
            <c:extLst>
              <c:ext xmlns:c16="http://schemas.microsoft.com/office/drawing/2014/chart" uri="{C3380CC4-5D6E-409C-BE32-E72D297353CC}">
                <c16:uniqueId val="{00000011-994B-714B-963B-ADFB2910BE41}"/>
              </c:ext>
            </c:extLst>
          </c:dPt>
          <c:dPt>
            <c:idx val="9"/>
            <c:invertIfNegative val="1"/>
            <c:bubble3D val="0"/>
            <c:spPr>
              <a:solidFill>
                <a:srgbClr val="000000"/>
              </a:solidFill>
              <a:ln w="0">
                <a:noFill/>
              </a:ln>
            </c:spPr>
            <c:extLst>
              <c:ext xmlns:c16="http://schemas.microsoft.com/office/drawing/2014/chart" uri="{C3380CC4-5D6E-409C-BE32-E72D297353CC}">
                <c16:uniqueId val="{00000013-994B-714B-963B-ADFB2910BE41}"/>
              </c:ext>
            </c:extLst>
          </c:dPt>
          <c:dPt>
            <c:idx val="10"/>
            <c:invertIfNegative val="1"/>
            <c:bubble3D val="0"/>
            <c:spPr>
              <a:solidFill>
                <a:srgbClr val="000000"/>
              </a:solidFill>
              <a:ln w="0">
                <a:noFill/>
              </a:ln>
            </c:spPr>
            <c:extLst>
              <c:ext xmlns:c16="http://schemas.microsoft.com/office/drawing/2014/chart" uri="{C3380CC4-5D6E-409C-BE32-E72D297353CC}">
                <c16:uniqueId val="{00000015-994B-714B-963B-ADFB2910BE41}"/>
              </c:ext>
            </c:extLst>
          </c:dPt>
          <c:dPt>
            <c:idx val="11"/>
            <c:invertIfNegative val="1"/>
            <c:bubble3D val="0"/>
            <c:spPr>
              <a:solidFill>
                <a:srgbClr val="000000"/>
              </a:solidFill>
              <a:ln w="0">
                <a:noFill/>
              </a:ln>
            </c:spPr>
            <c:extLst>
              <c:ext xmlns:c16="http://schemas.microsoft.com/office/drawing/2014/chart" uri="{C3380CC4-5D6E-409C-BE32-E72D297353CC}">
                <c16:uniqueId val="{00000017-994B-714B-963B-ADFB2910BE41}"/>
              </c:ext>
            </c:extLst>
          </c:dPt>
          <c:dPt>
            <c:idx val="12"/>
            <c:invertIfNegative val="1"/>
            <c:bubble3D val="0"/>
            <c:spPr>
              <a:solidFill>
                <a:srgbClr val="000000"/>
              </a:solidFill>
              <a:ln w="0">
                <a:noFill/>
              </a:ln>
            </c:spPr>
            <c:extLst>
              <c:ext xmlns:c16="http://schemas.microsoft.com/office/drawing/2014/chart" uri="{C3380CC4-5D6E-409C-BE32-E72D297353CC}">
                <c16:uniqueId val="{00000019-994B-714B-963B-ADFB2910BE41}"/>
              </c:ext>
            </c:extLst>
          </c:dPt>
          <c:dPt>
            <c:idx val="13"/>
            <c:invertIfNegative val="1"/>
            <c:bubble3D val="0"/>
            <c:spPr>
              <a:solidFill>
                <a:srgbClr val="000000"/>
              </a:solidFill>
              <a:ln w="0">
                <a:noFill/>
              </a:ln>
            </c:spPr>
            <c:extLst>
              <c:ext xmlns:c16="http://schemas.microsoft.com/office/drawing/2014/chart" uri="{C3380CC4-5D6E-409C-BE32-E72D297353CC}">
                <c16:uniqueId val="{0000001B-994B-714B-963B-ADFB2910BE41}"/>
              </c:ext>
            </c:extLst>
          </c:dPt>
          <c:dPt>
            <c:idx val="14"/>
            <c:invertIfNegative val="1"/>
            <c:bubble3D val="0"/>
            <c:spPr>
              <a:solidFill>
                <a:srgbClr val="000000"/>
              </a:solidFill>
              <a:ln w="0">
                <a:noFill/>
              </a:ln>
            </c:spPr>
            <c:extLst>
              <c:ext xmlns:c16="http://schemas.microsoft.com/office/drawing/2014/chart" uri="{C3380CC4-5D6E-409C-BE32-E72D297353CC}">
                <c16:uniqueId val="{0000001D-994B-714B-963B-ADFB2910BE41}"/>
              </c:ext>
            </c:extLst>
          </c:dPt>
          <c:dPt>
            <c:idx val="15"/>
            <c:invertIfNegative val="1"/>
            <c:bubble3D val="0"/>
            <c:spPr>
              <a:solidFill>
                <a:srgbClr val="000000"/>
              </a:solidFill>
              <a:ln w="0">
                <a:noFill/>
              </a:ln>
            </c:spPr>
            <c:extLst>
              <c:ext xmlns:c16="http://schemas.microsoft.com/office/drawing/2014/chart" uri="{C3380CC4-5D6E-409C-BE32-E72D297353CC}">
                <c16:uniqueId val="{0000001F-994B-714B-963B-ADFB2910BE41}"/>
              </c:ext>
            </c:extLst>
          </c:dPt>
          <c:dPt>
            <c:idx val="16"/>
            <c:invertIfNegative val="1"/>
            <c:bubble3D val="0"/>
            <c:spPr>
              <a:solidFill>
                <a:srgbClr val="000000"/>
              </a:solidFill>
              <a:ln w="0">
                <a:noFill/>
              </a:ln>
            </c:spPr>
            <c:extLst>
              <c:ext xmlns:c16="http://schemas.microsoft.com/office/drawing/2014/chart" uri="{C3380CC4-5D6E-409C-BE32-E72D297353CC}">
                <c16:uniqueId val="{00000021-994B-714B-963B-ADFB2910BE41}"/>
              </c:ext>
            </c:extLst>
          </c:dPt>
          <c:dPt>
            <c:idx val="17"/>
            <c:invertIfNegative val="1"/>
            <c:bubble3D val="0"/>
            <c:spPr>
              <a:solidFill>
                <a:srgbClr val="000000"/>
              </a:solidFill>
              <a:ln w="0">
                <a:noFill/>
              </a:ln>
            </c:spPr>
            <c:extLst>
              <c:ext xmlns:c16="http://schemas.microsoft.com/office/drawing/2014/chart" uri="{C3380CC4-5D6E-409C-BE32-E72D297353CC}">
                <c16:uniqueId val="{00000023-994B-714B-963B-ADFB2910BE41}"/>
              </c:ext>
            </c:extLst>
          </c:dPt>
          <c:dPt>
            <c:idx val="18"/>
            <c:invertIfNegative val="1"/>
            <c:bubble3D val="0"/>
            <c:spPr>
              <a:solidFill>
                <a:srgbClr val="000000"/>
              </a:solidFill>
              <a:ln w="0">
                <a:noFill/>
              </a:ln>
            </c:spPr>
            <c:extLst>
              <c:ext xmlns:c16="http://schemas.microsoft.com/office/drawing/2014/chart" uri="{C3380CC4-5D6E-409C-BE32-E72D297353CC}">
                <c16:uniqueId val="{00000025-994B-714B-963B-ADFB2910BE41}"/>
              </c:ext>
            </c:extLst>
          </c:dPt>
          <c:dPt>
            <c:idx val="19"/>
            <c:invertIfNegative val="1"/>
            <c:bubble3D val="0"/>
            <c:spPr>
              <a:solidFill>
                <a:srgbClr val="000000"/>
              </a:solidFill>
              <a:ln w="0">
                <a:noFill/>
              </a:ln>
            </c:spPr>
            <c:extLst>
              <c:ext xmlns:c16="http://schemas.microsoft.com/office/drawing/2014/chart" uri="{C3380CC4-5D6E-409C-BE32-E72D297353CC}">
                <c16:uniqueId val="{00000027-994B-714B-963B-ADFB2910BE41}"/>
              </c:ext>
            </c:extLst>
          </c:dPt>
          <c:dPt>
            <c:idx val="20"/>
            <c:invertIfNegative val="1"/>
            <c:bubble3D val="0"/>
            <c:spPr>
              <a:solidFill>
                <a:srgbClr val="000000"/>
              </a:solidFill>
              <a:ln w="0">
                <a:noFill/>
              </a:ln>
            </c:spPr>
            <c:extLst>
              <c:ext xmlns:c16="http://schemas.microsoft.com/office/drawing/2014/chart" uri="{C3380CC4-5D6E-409C-BE32-E72D297353CC}">
                <c16:uniqueId val="{00000029-994B-714B-963B-ADFB2910BE41}"/>
              </c:ext>
            </c:extLst>
          </c:dPt>
          <c:dPt>
            <c:idx val="21"/>
            <c:invertIfNegative val="1"/>
            <c:bubble3D val="0"/>
            <c:spPr>
              <a:solidFill>
                <a:srgbClr val="000000"/>
              </a:solidFill>
              <a:ln w="0">
                <a:noFill/>
              </a:ln>
            </c:spPr>
            <c:extLst>
              <c:ext xmlns:c16="http://schemas.microsoft.com/office/drawing/2014/chart" uri="{C3380CC4-5D6E-409C-BE32-E72D297353CC}">
                <c16:uniqueId val="{0000002B-994B-714B-963B-ADFB2910BE41}"/>
              </c:ext>
            </c:extLst>
          </c:dPt>
          <c:dPt>
            <c:idx val="22"/>
            <c:invertIfNegative val="1"/>
            <c:bubble3D val="0"/>
            <c:spPr>
              <a:solidFill>
                <a:srgbClr val="000000"/>
              </a:solidFill>
              <a:ln w="0">
                <a:noFill/>
              </a:ln>
            </c:spPr>
            <c:extLst>
              <c:ext xmlns:c16="http://schemas.microsoft.com/office/drawing/2014/chart" uri="{C3380CC4-5D6E-409C-BE32-E72D297353CC}">
                <c16:uniqueId val="{0000002D-994B-714B-963B-ADFB2910BE41}"/>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94B-714B-963B-ADFB2910BE41}"/>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94B-714B-963B-ADFB2910BE41}"/>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94B-714B-963B-ADFB2910BE41}"/>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94B-714B-963B-ADFB2910BE41}"/>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994B-714B-963B-ADFB2910BE41}"/>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994B-714B-963B-ADFB2910BE41}"/>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994B-714B-963B-ADFB2910BE41}"/>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994B-714B-963B-ADFB2910BE41}"/>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994B-714B-963B-ADFB2910BE41}"/>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994B-714B-963B-ADFB2910BE41}"/>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994B-714B-963B-ADFB2910BE41}"/>
                </c:ext>
              </c:extLst>
            </c:dLbl>
            <c:dLbl>
              <c:idx val="1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994B-714B-963B-ADFB2910BE41}"/>
                </c:ext>
              </c:extLst>
            </c:dLbl>
            <c:dLbl>
              <c:idx val="1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994B-714B-963B-ADFB2910BE41}"/>
                </c:ext>
              </c:extLst>
            </c:dLbl>
            <c:dLbl>
              <c:idx val="1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994B-714B-963B-ADFB2910BE41}"/>
                </c:ext>
              </c:extLst>
            </c:dLbl>
            <c:dLbl>
              <c:idx val="1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994B-714B-963B-ADFB2910BE41}"/>
                </c:ext>
              </c:extLst>
            </c:dLbl>
            <c:dLbl>
              <c:idx val="1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994B-714B-963B-ADFB2910BE41}"/>
                </c:ext>
              </c:extLst>
            </c:dLbl>
            <c:dLbl>
              <c:idx val="1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994B-714B-963B-ADFB2910BE41}"/>
                </c:ext>
              </c:extLst>
            </c:dLbl>
            <c:dLbl>
              <c:idx val="1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994B-714B-963B-ADFB2910BE41}"/>
                </c:ext>
              </c:extLst>
            </c:dLbl>
            <c:dLbl>
              <c:idx val="1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994B-714B-963B-ADFB2910BE41}"/>
                </c:ext>
              </c:extLst>
            </c:dLbl>
            <c:dLbl>
              <c:idx val="1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994B-714B-963B-ADFB2910BE41}"/>
                </c:ext>
              </c:extLst>
            </c:dLbl>
            <c:dLbl>
              <c:idx val="2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994B-714B-963B-ADFB2910BE41}"/>
                </c:ext>
              </c:extLst>
            </c:dLbl>
            <c:dLbl>
              <c:idx val="2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994B-714B-963B-ADFB2910BE41}"/>
                </c:ext>
              </c:extLst>
            </c:dLbl>
            <c:dLbl>
              <c:idx val="2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994B-714B-963B-ADFB2910BE41}"/>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Summary!$B$6:$B$29</c:f>
              <c:strCache>
                <c:ptCount val="24"/>
                <c:pt idx="0">
                  <c:v>Action selection &amp; affordance competition</c:v>
                </c:pt>
                <c:pt idx="1">
                  <c:v>Anatomical mapping</c:v>
                </c:pt>
                <c:pt idx="2">
                  <c:v>Active inference / free energy</c:v>
                </c:pt>
                <c:pt idx="3">
                  <c:v>Affordances &amp; ecological psychology</c:v>
                </c:pt>
                <c:pt idx="4">
                  <c:v>Biomechanical / effort costs</c:v>
                </c:pt>
                <c:pt idx="5">
                  <c:v>Corollary discharge / efference copy</c:v>
                </c:pt>
                <c:pt idx="6">
                  <c:v>Decisions during movement</c:v>
                </c:pt>
                <c:pt idx="7">
                  <c:v>Foundational / inside-out</c:v>
                </c:pt>
                <c:pt idx="8">
                  <c:v>Foundational / historical</c:v>
                </c:pt>
                <c:pt idx="9">
                  <c:v>Methods / tools</c:v>
                </c:pt>
                <c:pt idx="10">
                  <c:v>Motor cortex &amp; body maps</c:v>
                </c:pt>
                <c:pt idx="11">
                  <c:v>Neural population dynamics</c:v>
                </c:pt>
                <c:pt idx="12">
                  <c:v>Optimal feedback control</c:v>
                </c:pt>
                <c:pt idx="13">
                  <c:v>Pain &amp; salience (Iannetti)</c:v>
                </c:pt>
                <c:pt idx="14">
                  <c:v>Perception-action &amp; multisensory</c:v>
                </c:pt>
                <c:pt idx="15">
                  <c:v>Peripersonal space &amp; defence</c:v>
                </c:pt>
                <c:pt idx="16">
                  <c:v>Robotics / engineering control</c:v>
                </c:pt>
                <c:pt idx="17">
                  <c:v>Saliency &amp; attention models</c:v>
                </c:pt>
                <c:pt idx="18">
                  <c:v>Saliency-motor coupling / reactive behaviour</c:v>
                </c:pt>
                <c:pt idx="19">
                  <c:v>Sense of agency &amp; sensory attenuation</c:v>
                </c:pt>
                <c:pt idx="20">
                  <c:v>Surprise &amp; novelty</c:v>
                </c:pt>
                <c:pt idx="21">
                  <c:v>Value &amp; reward-based decision</c:v>
                </c:pt>
                <c:pt idx="22">
                  <c:v>Vertex potential &amp; evoked potentials</c:v>
                </c:pt>
                <c:pt idx="23">
                  <c:v>Working memory &amp; executive control</c:v>
                </c:pt>
              </c:strCache>
            </c:strRef>
          </c:cat>
          <c:val>
            <c:numRef>
              <c:f>Summary!$C$6:$C$28</c:f>
              <c:numCache>
                <c:formatCode>General</c:formatCode>
                <c:ptCount val="23"/>
                <c:pt idx="0">
                  <c:v>9</c:v>
                </c:pt>
                <c:pt idx="1">
                  <c:v>2</c:v>
                </c:pt>
                <c:pt idx="2">
                  <c:v>30</c:v>
                </c:pt>
                <c:pt idx="3">
                  <c:v>3</c:v>
                </c:pt>
                <c:pt idx="4">
                  <c:v>7</c:v>
                </c:pt>
                <c:pt idx="5">
                  <c:v>8</c:v>
                </c:pt>
                <c:pt idx="6">
                  <c:v>13</c:v>
                </c:pt>
                <c:pt idx="7">
                  <c:v>6</c:v>
                </c:pt>
                <c:pt idx="8">
                  <c:v>4</c:v>
                </c:pt>
                <c:pt idx="9">
                  <c:v>9</c:v>
                </c:pt>
                <c:pt idx="10">
                  <c:v>21</c:v>
                </c:pt>
                <c:pt idx="11">
                  <c:v>2</c:v>
                </c:pt>
                <c:pt idx="12">
                  <c:v>19</c:v>
                </c:pt>
                <c:pt idx="13">
                  <c:v>8</c:v>
                </c:pt>
                <c:pt idx="14">
                  <c:v>2</c:v>
                </c:pt>
                <c:pt idx="15">
                  <c:v>12</c:v>
                </c:pt>
                <c:pt idx="16">
                  <c:v>4</c:v>
                </c:pt>
                <c:pt idx="17">
                  <c:v>11</c:v>
                </c:pt>
                <c:pt idx="18">
                  <c:v>18</c:v>
                </c:pt>
                <c:pt idx="19">
                  <c:v>17</c:v>
                </c:pt>
                <c:pt idx="20">
                  <c:v>33</c:v>
                </c:pt>
                <c:pt idx="21">
                  <c:v>11</c:v>
                </c:pt>
                <c:pt idx="22">
                  <c:v>25</c:v>
                </c:pt>
              </c:numCache>
            </c:numRef>
          </c:val>
          <c:extLst>
            <c:ext xmlns:c16="http://schemas.microsoft.com/office/drawing/2014/chart" uri="{C3380CC4-5D6E-409C-BE32-E72D297353CC}">
              <c16:uniqueId val="{0000002E-994B-714B-963B-ADFB2910BE41}"/>
            </c:ext>
          </c:extLst>
        </c:ser>
        <c:dLbls>
          <c:showLegendKey val="0"/>
          <c:showVal val="0"/>
          <c:showCatName val="0"/>
          <c:showSerName val="0"/>
          <c:showPercent val="0"/>
          <c:showBubbleSize val="0"/>
        </c:dLbls>
        <c:gapWidth val="150"/>
        <c:axId val="58526256"/>
        <c:axId val="51878646"/>
      </c:barChart>
      <c:catAx>
        <c:axId val="58526256"/>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51878646"/>
        <c:crosses val="autoZero"/>
        <c:auto val="1"/>
        <c:lblAlgn val="ctr"/>
        <c:lblOffset val="100"/>
        <c:noMultiLvlLbl val="0"/>
      </c:catAx>
      <c:valAx>
        <c:axId val="51878646"/>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58526256"/>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study type</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8429-E049-A5A0-6B71E1B70B4E}"/>
              </c:ext>
            </c:extLst>
          </c:dPt>
          <c:dPt>
            <c:idx val="1"/>
            <c:invertIfNegative val="1"/>
            <c:bubble3D val="0"/>
            <c:spPr>
              <a:solidFill>
                <a:srgbClr val="000000"/>
              </a:solidFill>
              <a:ln w="0">
                <a:noFill/>
              </a:ln>
            </c:spPr>
            <c:extLst>
              <c:ext xmlns:c16="http://schemas.microsoft.com/office/drawing/2014/chart" uri="{C3380CC4-5D6E-409C-BE32-E72D297353CC}">
                <c16:uniqueId val="{00000003-8429-E049-A5A0-6B71E1B70B4E}"/>
              </c:ext>
            </c:extLst>
          </c:dPt>
          <c:dPt>
            <c:idx val="2"/>
            <c:invertIfNegative val="1"/>
            <c:bubble3D val="0"/>
            <c:spPr>
              <a:solidFill>
                <a:srgbClr val="000000"/>
              </a:solidFill>
              <a:ln w="0">
                <a:noFill/>
              </a:ln>
            </c:spPr>
            <c:extLst>
              <c:ext xmlns:c16="http://schemas.microsoft.com/office/drawing/2014/chart" uri="{C3380CC4-5D6E-409C-BE32-E72D297353CC}">
                <c16:uniqueId val="{00000005-8429-E049-A5A0-6B71E1B70B4E}"/>
              </c:ext>
            </c:extLst>
          </c:dPt>
          <c:dPt>
            <c:idx val="3"/>
            <c:invertIfNegative val="1"/>
            <c:bubble3D val="0"/>
            <c:spPr>
              <a:solidFill>
                <a:srgbClr val="000000"/>
              </a:solidFill>
              <a:ln w="0">
                <a:noFill/>
              </a:ln>
            </c:spPr>
            <c:extLst>
              <c:ext xmlns:c16="http://schemas.microsoft.com/office/drawing/2014/chart" uri="{C3380CC4-5D6E-409C-BE32-E72D297353CC}">
                <c16:uniqueId val="{00000007-8429-E049-A5A0-6B71E1B70B4E}"/>
              </c:ext>
            </c:extLst>
          </c:dPt>
          <c:dPt>
            <c:idx val="4"/>
            <c:invertIfNegative val="1"/>
            <c:bubble3D val="0"/>
            <c:spPr>
              <a:solidFill>
                <a:srgbClr val="000000"/>
              </a:solidFill>
              <a:ln w="0">
                <a:noFill/>
              </a:ln>
            </c:spPr>
            <c:extLst>
              <c:ext xmlns:c16="http://schemas.microsoft.com/office/drawing/2014/chart" uri="{C3380CC4-5D6E-409C-BE32-E72D297353CC}">
                <c16:uniqueId val="{00000009-8429-E049-A5A0-6B71E1B70B4E}"/>
              </c:ext>
            </c:extLst>
          </c:dPt>
          <c:dPt>
            <c:idx val="5"/>
            <c:invertIfNegative val="1"/>
            <c:bubble3D val="0"/>
            <c:spPr>
              <a:solidFill>
                <a:srgbClr val="000000"/>
              </a:solidFill>
              <a:ln w="0">
                <a:noFill/>
              </a:ln>
            </c:spPr>
            <c:extLst>
              <c:ext xmlns:c16="http://schemas.microsoft.com/office/drawing/2014/chart" uri="{C3380CC4-5D6E-409C-BE32-E72D297353CC}">
                <c16:uniqueId val="{0000000B-8429-E049-A5A0-6B71E1B70B4E}"/>
              </c:ext>
            </c:extLst>
          </c:dPt>
          <c:dPt>
            <c:idx val="6"/>
            <c:invertIfNegative val="1"/>
            <c:bubble3D val="0"/>
            <c:spPr>
              <a:solidFill>
                <a:srgbClr val="000000"/>
              </a:solidFill>
              <a:ln w="0">
                <a:noFill/>
              </a:ln>
            </c:spPr>
            <c:extLst>
              <c:ext xmlns:c16="http://schemas.microsoft.com/office/drawing/2014/chart" uri="{C3380CC4-5D6E-409C-BE32-E72D297353CC}">
                <c16:uniqueId val="{0000000D-8429-E049-A5A0-6B71E1B70B4E}"/>
              </c:ext>
            </c:extLst>
          </c:dPt>
          <c:dPt>
            <c:idx val="7"/>
            <c:invertIfNegative val="1"/>
            <c:bubble3D val="0"/>
            <c:spPr>
              <a:solidFill>
                <a:srgbClr val="000000"/>
              </a:solidFill>
              <a:ln w="0">
                <a:noFill/>
              </a:ln>
            </c:spPr>
            <c:extLst>
              <c:ext xmlns:c16="http://schemas.microsoft.com/office/drawing/2014/chart" uri="{C3380CC4-5D6E-409C-BE32-E72D297353CC}">
                <c16:uniqueId val="{0000000F-8429-E049-A5A0-6B71E1B70B4E}"/>
              </c:ext>
            </c:extLst>
          </c:dPt>
          <c:dPt>
            <c:idx val="8"/>
            <c:invertIfNegative val="1"/>
            <c:bubble3D val="0"/>
            <c:spPr>
              <a:solidFill>
                <a:srgbClr val="000000"/>
              </a:solidFill>
              <a:ln w="0">
                <a:noFill/>
              </a:ln>
            </c:spPr>
            <c:extLst>
              <c:ext xmlns:c16="http://schemas.microsoft.com/office/drawing/2014/chart" uri="{C3380CC4-5D6E-409C-BE32-E72D297353CC}">
                <c16:uniqueId val="{00000011-8429-E049-A5A0-6B71E1B70B4E}"/>
              </c:ext>
            </c:extLst>
          </c:dPt>
          <c:dPt>
            <c:idx val="9"/>
            <c:invertIfNegative val="1"/>
            <c:bubble3D val="0"/>
            <c:spPr>
              <a:solidFill>
                <a:srgbClr val="000000"/>
              </a:solidFill>
              <a:ln w="0">
                <a:noFill/>
              </a:ln>
            </c:spPr>
            <c:extLst>
              <c:ext xmlns:c16="http://schemas.microsoft.com/office/drawing/2014/chart" uri="{C3380CC4-5D6E-409C-BE32-E72D297353CC}">
                <c16:uniqueId val="{00000013-8429-E049-A5A0-6B71E1B70B4E}"/>
              </c:ext>
            </c:extLst>
          </c:dPt>
          <c:dPt>
            <c:idx val="10"/>
            <c:invertIfNegative val="1"/>
            <c:bubble3D val="0"/>
            <c:spPr>
              <a:solidFill>
                <a:srgbClr val="000000"/>
              </a:solidFill>
              <a:ln w="0">
                <a:noFill/>
              </a:ln>
            </c:spPr>
            <c:extLst>
              <c:ext xmlns:c16="http://schemas.microsoft.com/office/drawing/2014/chart" uri="{C3380CC4-5D6E-409C-BE32-E72D297353CC}">
                <c16:uniqueId val="{00000015-8429-E049-A5A0-6B71E1B70B4E}"/>
              </c:ext>
            </c:extLst>
          </c:dPt>
          <c:dPt>
            <c:idx val="11"/>
            <c:invertIfNegative val="1"/>
            <c:bubble3D val="0"/>
            <c:spPr>
              <a:solidFill>
                <a:srgbClr val="000000"/>
              </a:solidFill>
              <a:ln w="0">
                <a:noFill/>
              </a:ln>
            </c:spPr>
            <c:extLst>
              <c:ext xmlns:c16="http://schemas.microsoft.com/office/drawing/2014/chart" uri="{C3380CC4-5D6E-409C-BE32-E72D297353CC}">
                <c16:uniqueId val="{00000017-8429-E049-A5A0-6B71E1B70B4E}"/>
              </c:ext>
            </c:extLst>
          </c:dPt>
          <c:dPt>
            <c:idx val="12"/>
            <c:invertIfNegative val="1"/>
            <c:bubble3D val="0"/>
            <c:spPr>
              <a:solidFill>
                <a:srgbClr val="000000"/>
              </a:solidFill>
              <a:ln w="0">
                <a:noFill/>
              </a:ln>
            </c:spPr>
            <c:extLst>
              <c:ext xmlns:c16="http://schemas.microsoft.com/office/drawing/2014/chart" uri="{C3380CC4-5D6E-409C-BE32-E72D297353CC}">
                <c16:uniqueId val="{00000019-8429-E049-A5A0-6B71E1B70B4E}"/>
              </c:ext>
            </c:extLst>
          </c:dPt>
          <c:dPt>
            <c:idx val="13"/>
            <c:invertIfNegative val="1"/>
            <c:bubble3D val="0"/>
            <c:spPr>
              <a:solidFill>
                <a:srgbClr val="000000"/>
              </a:solidFill>
              <a:ln w="0">
                <a:noFill/>
              </a:ln>
            </c:spPr>
            <c:extLst>
              <c:ext xmlns:c16="http://schemas.microsoft.com/office/drawing/2014/chart" uri="{C3380CC4-5D6E-409C-BE32-E72D297353CC}">
                <c16:uniqueId val="{0000001B-8429-E049-A5A0-6B71E1B70B4E}"/>
              </c:ext>
            </c:extLst>
          </c:dPt>
          <c:dPt>
            <c:idx val="14"/>
            <c:invertIfNegative val="1"/>
            <c:bubble3D val="0"/>
            <c:spPr>
              <a:solidFill>
                <a:srgbClr val="000000"/>
              </a:solidFill>
              <a:ln w="0">
                <a:noFill/>
              </a:ln>
            </c:spPr>
            <c:extLst>
              <c:ext xmlns:c16="http://schemas.microsoft.com/office/drawing/2014/chart" uri="{C3380CC4-5D6E-409C-BE32-E72D297353CC}">
                <c16:uniqueId val="{0000001D-8429-E049-A5A0-6B71E1B70B4E}"/>
              </c:ext>
            </c:extLst>
          </c:dPt>
          <c:dPt>
            <c:idx val="15"/>
            <c:invertIfNegative val="1"/>
            <c:bubble3D val="0"/>
            <c:spPr>
              <a:solidFill>
                <a:srgbClr val="000000"/>
              </a:solidFill>
              <a:ln w="0">
                <a:noFill/>
              </a:ln>
            </c:spPr>
            <c:extLst>
              <c:ext xmlns:c16="http://schemas.microsoft.com/office/drawing/2014/chart" uri="{C3380CC4-5D6E-409C-BE32-E72D297353CC}">
                <c16:uniqueId val="{0000001F-8429-E049-A5A0-6B71E1B70B4E}"/>
              </c:ext>
            </c:extLst>
          </c:dPt>
          <c:dPt>
            <c:idx val="16"/>
            <c:invertIfNegative val="1"/>
            <c:bubble3D val="0"/>
            <c:spPr>
              <a:solidFill>
                <a:srgbClr val="000000"/>
              </a:solidFill>
              <a:ln w="0">
                <a:noFill/>
              </a:ln>
            </c:spPr>
            <c:extLst>
              <c:ext xmlns:c16="http://schemas.microsoft.com/office/drawing/2014/chart" uri="{C3380CC4-5D6E-409C-BE32-E72D297353CC}">
                <c16:uniqueId val="{00000021-8429-E049-A5A0-6B71E1B70B4E}"/>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429-E049-A5A0-6B71E1B70B4E}"/>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429-E049-A5A0-6B71E1B70B4E}"/>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429-E049-A5A0-6B71E1B70B4E}"/>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429-E049-A5A0-6B71E1B70B4E}"/>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8429-E049-A5A0-6B71E1B70B4E}"/>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8429-E049-A5A0-6B71E1B70B4E}"/>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8429-E049-A5A0-6B71E1B70B4E}"/>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8429-E049-A5A0-6B71E1B70B4E}"/>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8429-E049-A5A0-6B71E1B70B4E}"/>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8429-E049-A5A0-6B71E1B70B4E}"/>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8429-E049-A5A0-6B71E1B70B4E}"/>
                </c:ext>
              </c:extLst>
            </c:dLbl>
            <c:dLbl>
              <c:idx val="1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8429-E049-A5A0-6B71E1B70B4E}"/>
                </c:ext>
              </c:extLst>
            </c:dLbl>
            <c:dLbl>
              <c:idx val="1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8429-E049-A5A0-6B71E1B70B4E}"/>
                </c:ext>
              </c:extLst>
            </c:dLbl>
            <c:dLbl>
              <c:idx val="1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8429-E049-A5A0-6B71E1B70B4E}"/>
                </c:ext>
              </c:extLst>
            </c:dLbl>
            <c:dLbl>
              <c:idx val="1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8429-E049-A5A0-6B71E1B70B4E}"/>
                </c:ext>
              </c:extLst>
            </c:dLbl>
            <c:dLbl>
              <c:idx val="1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8429-E049-A5A0-6B71E1B70B4E}"/>
                </c:ext>
              </c:extLst>
            </c:dLbl>
            <c:dLbl>
              <c:idx val="1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8429-E049-A5A0-6B71E1B70B4E}"/>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Summary!$E$6:$E$22</c:f>
              <c:strCache>
                <c:ptCount val="17"/>
                <c:pt idx="0">
                  <c:v>Book</c:v>
                </c:pt>
                <c:pt idx="1">
                  <c:v>Computational model</c:v>
                </c:pt>
                <c:pt idx="2">
                  <c:v>Empirical (neurophysiology)</c:v>
                </c:pt>
                <c:pt idx="3">
                  <c:v>Empirical (paleontology)</c:v>
                </c:pt>
                <c:pt idx="4">
                  <c:v>Empirical + modelling</c:v>
                </c:pt>
                <c:pt idx="5">
                  <c:v>Historical / foundational</c:v>
                </c:pt>
                <c:pt idx="6">
                  <c:v>Human EEG/MEG</c:v>
                </c:pt>
                <c:pt idx="7">
                  <c:v>Human TMS / corticospinal</c:v>
                </c:pt>
                <c:pt idx="8">
                  <c:v>Human behaviour / psychophysics</c:v>
                </c:pt>
                <c:pt idx="9">
                  <c:v>Human fMRI</c:v>
                </c:pt>
                <c:pt idx="10">
                  <c:v>Methods / tools</c:v>
                </c:pt>
                <c:pt idx="11">
                  <c:v>NHP electrophysiology</c:v>
                </c:pt>
                <c:pt idx="12">
                  <c:v>Review</c:v>
                </c:pt>
                <c:pt idx="13">
                  <c:v>Robotics / simulation</c:v>
                </c:pt>
                <c:pt idx="14">
                  <c:v>Rodent electrophysiology</c:v>
                </c:pt>
                <c:pt idx="15">
                  <c:v>Theory / conceptual</c:v>
                </c:pt>
                <c:pt idx="16">
                  <c:v>Thesis</c:v>
                </c:pt>
              </c:strCache>
            </c:strRef>
          </c:cat>
          <c:val>
            <c:numRef>
              <c:f>Summary!$F$6:$F$22</c:f>
              <c:numCache>
                <c:formatCode>General</c:formatCode>
                <c:ptCount val="17"/>
                <c:pt idx="0">
                  <c:v>11</c:v>
                </c:pt>
                <c:pt idx="1">
                  <c:v>21</c:v>
                </c:pt>
                <c:pt idx="2">
                  <c:v>2</c:v>
                </c:pt>
                <c:pt idx="3">
                  <c:v>1</c:v>
                </c:pt>
                <c:pt idx="4">
                  <c:v>2</c:v>
                </c:pt>
                <c:pt idx="5">
                  <c:v>33</c:v>
                </c:pt>
                <c:pt idx="6">
                  <c:v>31</c:v>
                </c:pt>
                <c:pt idx="7">
                  <c:v>9</c:v>
                </c:pt>
                <c:pt idx="8">
                  <c:v>28</c:v>
                </c:pt>
                <c:pt idx="9">
                  <c:v>4</c:v>
                </c:pt>
                <c:pt idx="10">
                  <c:v>6</c:v>
                </c:pt>
                <c:pt idx="11">
                  <c:v>20</c:v>
                </c:pt>
                <c:pt idx="12">
                  <c:v>69</c:v>
                </c:pt>
                <c:pt idx="13">
                  <c:v>2</c:v>
                </c:pt>
                <c:pt idx="14">
                  <c:v>5</c:v>
                </c:pt>
                <c:pt idx="15">
                  <c:v>41</c:v>
                </c:pt>
                <c:pt idx="16">
                  <c:v>3</c:v>
                </c:pt>
              </c:numCache>
            </c:numRef>
          </c:val>
          <c:extLst>
            <c:ext xmlns:c16="http://schemas.microsoft.com/office/drawing/2014/chart" uri="{C3380CC4-5D6E-409C-BE32-E72D297353CC}">
              <c16:uniqueId val="{00000022-8429-E049-A5A0-6B71E1B70B4E}"/>
            </c:ext>
          </c:extLst>
        </c:ser>
        <c:dLbls>
          <c:showLegendKey val="0"/>
          <c:showVal val="0"/>
          <c:showCatName val="0"/>
          <c:showSerName val="0"/>
          <c:showPercent val="0"/>
          <c:showBubbleSize val="0"/>
        </c:dLbls>
        <c:gapWidth val="150"/>
        <c:axId val="78992193"/>
        <c:axId val="19229043"/>
      </c:barChart>
      <c:catAx>
        <c:axId val="78992193"/>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19229043"/>
        <c:crosses val="autoZero"/>
        <c:auto val="1"/>
        <c:lblAlgn val="ctr"/>
        <c:lblOffset val="100"/>
        <c:noMultiLvlLbl val="0"/>
      </c:catAx>
      <c:valAx>
        <c:axId val="19229043"/>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78992193"/>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framework</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5CAC-B04F-80FC-74625F528A03}"/>
              </c:ext>
            </c:extLst>
          </c:dPt>
          <c:dPt>
            <c:idx val="1"/>
            <c:invertIfNegative val="1"/>
            <c:bubble3D val="0"/>
            <c:spPr>
              <a:solidFill>
                <a:srgbClr val="000000"/>
              </a:solidFill>
              <a:ln w="0">
                <a:noFill/>
              </a:ln>
            </c:spPr>
            <c:extLst>
              <c:ext xmlns:c16="http://schemas.microsoft.com/office/drawing/2014/chart" uri="{C3380CC4-5D6E-409C-BE32-E72D297353CC}">
                <c16:uniqueId val="{00000003-5CAC-B04F-80FC-74625F528A03}"/>
              </c:ext>
            </c:extLst>
          </c:dPt>
          <c:dPt>
            <c:idx val="2"/>
            <c:invertIfNegative val="1"/>
            <c:bubble3D val="0"/>
            <c:spPr>
              <a:solidFill>
                <a:srgbClr val="000000"/>
              </a:solidFill>
              <a:ln w="0">
                <a:noFill/>
              </a:ln>
            </c:spPr>
            <c:extLst>
              <c:ext xmlns:c16="http://schemas.microsoft.com/office/drawing/2014/chart" uri="{C3380CC4-5D6E-409C-BE32-E72D297353CC}">
                <c16:uniqueId val="{00000005-5CAC-B04F-80FC-74625F528A03}"/>
              </c:ext>
            </c:extLst>
          </c:dPt>
          <c:dPt>
            <c:idx val="3"/>
            <c:invertIfNegative val="1"/>
            <c:bubble3D val="0"/>
            <c:spPr>
              <a:solidFill>
                <a:srgbClr val="000000"/>
              </a:solidFill>
              <a:ln w="0">
                <a:noFill/>
              </a:ln>
            </c:spPr>
            <c:extLst>
              <c:ext xmlns:c16="http://schemas.microsoft.com/office/drawing/2014/chart" uri="{C3380CC4-5D6E-409C-BE32-E72D297353CC}">
                <c16:uniqueId val="{00000007-5CAC-B04F-80FC-74625F528A03}"/>
              </c:ext>
            </c:extLst>
          </c:dPt>
          <c:dPt>
            <c:idx val="4"/>
            <c:invertIfNegative val="1"/>
            <c:bubble3D val="0"/>
            <c:spPr>
              <a:solidFill>
                <a:srgbClr val="000000"/>
              </a:solidFill>
              <a:ln w="0">
                <a:noFill/>
              </a:ln>
            </c:spPr>
            <c:extLst>
              <c:ext xmlns:c16="http://schemas.microsoft.com/office/drawing/2014/chart" uri="{C3380CC4-5D6E-409C-BE32-E72D297353CC}">
                <c16:uniqueId val="{00000009-5CAC-B04F-80FC-74625F528A03}"/>
              </c:ext>
            </c:extLst>
          </c:dPt>
          <c:dPt>
            <c:idx val="5"/>
            <c:invertIfNegative val="1"/>
            <c:bubble3D val="0"/>
            <c:spPr>
              <a:solidFill>
                <a:srgbClr val="000000"/>
              </a:solidFill>
              <a:ln w="0">
                <a:noFill/>
              </a:ln>
            </c:spPr>
            <c:extLst>
              <c:ext xmlns:c16="http://schemas.microsoft.com/office/drawing/2014/chart" uri="{C3380CC4-5D6E-409C-BE32-E72D297353CC}">
                <c16:uniqueId val="{0000000B-5CAC-B04F-80FC-74625F528A03}"/>
              </c:ext>
            </c:extLst>
          </c:dPt>
          <c:dPt>
            <c:idx val="6"/>
            <c:invertIfNegative val="1"/>
            <c:bubble3D val="0"/>
            <c:spPr>
              <a:solidFill>
                <a:srgbClr val="000000"/>
              </a:solidFill>
              <a:ln w="0">
                <a:noFill/>
              </a:ln>
            </c:spPr>
            <c:extLst>
              <c:ext xmlns:c16="http://schemas.microsoft.com/office/drawing/2014/chart" uri="{C3380CC4-5D6E-409C-BE32-E72D297353CC}">
                <c16:uniqueId val="{0000000D-5CAC-B04F-80FC-74625F528A03}"/>
              </c:ext>
            </c:extLst>
          </c:dPt>
          <c:dPt>
            <c:idx val="7"/>
            <c:invertIfNegative val="1"/>
            <c:bubble3D val="0"/>
            <c:spPr>
              <a:solidFill>
                <a:srgbClr val="000000"/>
              </a:solidFill>
              <a:ln w="0">
                <a:noFill/>
              </a:ln>
            </c:spPr>
            <c:extLst>
              <c:ext xmlns:c16="http://schemas.microsoft.com/office/drawing/2014/chart" uri="{C3380CC4-5D6E-409C-BE32-E72D297353CC}">
                <c16:uniqueId val="{0000000F-5CAC-B04F-80FC-74625F528A03}"/>
              </c:ext>
            </c:extLst>
          </c:dPt>
          <c:dPt>
            <c:idx val="8"/>
            <c:invertIfNegative val="1"/>
            <c:bubble3D val="0"/>
            <c:spPr>
              <a:solidFill>
                <a:srgbClr val="000000"/>
              </a:solidFill>
              <a:ln w="0">
                <a:noFill/>
              </a:ln>
            </c:spPr>
            <c:extLst>
              <c:ext xmlns:c16="http://schemas.microsoft.com/office/drawing/2014/chart" uri="{C3380CC4-5D6E-409C-BE32-E72D297353CC}">
                <c16:uniqueId val="{00000011-5CAC-B04F-80FC-74625F528A03}"/>
              </c:ext>
            </c:extLst>
          </c:dPt>
          <c:dPt>
            <c:idx val="9"/>
            <c:invertIfNegative val="1"/>
            <c:bubble3D val="0"/>
            <c:spPr>
              <a:solidFill>
                <a:srgbClr val="000000"/>
              </a:solidFill>
              <a:ln w="0">
                <a:noFill/>
              </a:ln>
            </c:spPr>
            <c:extLst>
              <c:ext xmlns:c16="http://schemas.microsoft.com/office/drawing/2014/chart" uri="{C3380CC4-5D6E-409C-BE32-E72D297353CC}">
                <c16:uniqueId val="{00000013-5CAC-B04F-80FC-74625F528A03}"/>
              </c:ext>
            </c:extLst>
          </c:dPt>
          <c:dPt>
            <c:idx val="10"/>
            <c:invertIfNegative val="1"/>
            <c:bubble3D val="0"/>
            <c:spPr>
              <a:solidFill>
                <a:srgbClr val="000000"/>
              </a:solidFill>
              <a:ln w="0">
                <a:noFill/>
              </a:ln>
            </c:spPr>
            <c:extLst>
              <c:ext xmlns:c16="http://schemas.microsoft.com/office/drawing/2014/chart" uri="{C3380CC4-5D6E-409C-BE32-E72D297353CC}">
                <c16:uniqueId val="{00000015-5CAC-B04F-80FC-74625F528A03}"/>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CAC-B04F-80FC-74625F528A03}"/>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CAC-B04F-80FC-74625F528A03}"/>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5CAC-B04F-80FC-74625F528A03}"/>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5CAC-B04F-80FC-74625F528A03}"/>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5CAC-B04F-80FC-74625F528A03}"/>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5CAC-B04F-80FC-74625F528A03}"/>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5CAC-B04F-80FC-74625F528A03}"/>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5CAC-B04F-80FC-74625F528A03}"/>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5CAC-B04F-80FC-74625F528A03}"/>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5CAC-B04F-80FC-74625F528A03}"/>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5CAC-B04F-80FC-74625F528A03}"/>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Summary!$H$6:$H$16</c:f>
              <c:strCache>
                <c:ptCount val="11"/>
                <c:pt idx="0">
                  <c:v>Affordance competition</c:v>
                </c:pt>
                <c:pt idx="1">
                  <c:v>Agency / volition</c:v>
                </c:pt>
                <c:pt idx="2">
                  <c:v>Ecological / dynamical</c:v>
                </c:pt>
                <c:pt idx="3">
                  <c:v>Free-energy / active inference</c:v>
                </c:pt>
                <c:pt idx="4">
                  <c:v>General / foundational</c:v>
                </c:pt>
                <c:pt idx="5">
                  <c:v>Neural dynamics</c:v>
                </c:pt>
                <c:pt idx="6">
                  <c:v>Optimal feedback control</c:v>
                </c:pt>
                <c:pt idx="7">
                  <c:v>Peripersonal space / action fields</c:v>
                </c:pt>
                <c:pt idx="8">
                  <c:v>Predictive coding / corollary discharge</c:v>
                </c:pt>
                <c:pt idx="9">
                  <c:v>Salience detection</c:v>
                </c:pt>
                <c:pt idx="10">
                  <c:v>Statistical decision theory</c:v>
                </c:pt>
              </c:strCache>
            </c:strRef>
          </c:cat>
          <c:val>
            <c:numRef>
              <c:f>Summary!$I$6:$I$16</c:f>
              <c:numCache>
                <c:formatCode>General</c:formatCode>
                <c:ptCount val="11"/>
                <c:pt idx="0">
                  <c:v>18</c:v>
                </c:pt>
                <c:pt idx="1">
                  <c:v>7</c:v>
                </c:pt>
                <c:pt idx="2">
                  <c:v>6</c:v>
                </c:pt>
                <c:pt idx="3">
                  <c:v>34</c:v>
                </c:pt>
                <c:pt idx="4">
                  <c:v>34</c:v>
                </c:pt>
                <c:pt idx="5">
                  <c:v>5</c:v>
                </c:pt>
                <c:pt idx="6">
                  <c:v>33</c:v>
                </c:pt>
                <c:pt idx="7">
                  <c:v>12</c:v>
                </c:pt>
                <c:pt idx="8">
                  <c:v>8</c:v>
                </c:pt>
                <c:pt idx="9">
                  <c:v>79</c:v>
                </c:pt>
                <c:pt idx="10">
                  <c:v>11</c:v>
                </c:pt>
              </c:numCache>
            </c:numRef>
          </c:val>
          <c:extLst>
            <c:ext xmlns:c16="http://schemas.microsoft.com/office/drawing/2014/chart" uri="{C3380CC4-5D6E-409C-BE32-E72D297353CC}">
              <c16:uniqueId val="{00000016-5CAC-B04F-80FC-74625F528A03}"/>
            </c:ext>
          </c:extLst>
        </c:ser>
        <c:dLbls>
          <c:showLegendKey val="0"/>
          <c:showVal val="0"/>
          <c:showCatName val="0"/>
          <c:showSerName val="0"/>
          <c:showPercent val="0"/>
          <c:showBubbleSize val="0"/>
        </c:dLbls>
        <c:gapWidth val="150"/>
        <c:axId val="40844770"/>
        <c:axId val="97187362"/>
      </c:barChart>
      <c:catAx>
        <c:axId val="40844770"/>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97187362"/>
        <c:crosses val="autoZero"/>
        <c:auto val="1"/>
        <c:lblAlgn val="ctr"/>
        <c:lblOffset val="100"/>
        <c:noMultiLvlLbl val="0"/>
      </c:catAx>
      <c:valAx>
        <c:axId val="97187362"/>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40844770"/>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thematic file</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7941-E541-B19D-11E592739307}"/>
              </c:ext>
            </c:extLst>
          </c:dPt>
          <c:dPt>
            <c:idx val="1"/>
            <c:invertIfNegative val="1"/>
            <c:bubble3D val="0"/>
            <c:spPr>
              <a:solidFill>
                <a:srgbClr val="000000"/>
              </a:solidFill>
              <a:ln w="0">
                <a:noFill/>
              </a:ln>
            </c:spPr>
            <c:extLst>
              <c:ext xmlns:c16="http://schemas.microsoft.com/office/drawing/2014/chart" uri="{C3380CC4-5D6E-409C-BE32-E72D297353CC}">
                <c16:uniqueId val="{00000003-7941-E541-B19D-11E592739307}"/>
              </c:ext>
            </c:extLst>
          </c:dPt>
          <c:dPt>
            <c:idx val="2"/>
            <c:invertIfNegative val="1"/>
            <c:bubble3D val="0"/>
            <c:spPr>
              <a:solidFill>
                <a:srgbClr val="000000"/>
              </a:solidFill>
              <a:ln w="0">
                <a:noFill/>
              </a:ln>
            </c:spPr>
            <c:extLst>
              <c:ext xmlns:c16="http://schemas.microsoft.com/office/drawing/2014/chart" uri="{C3380CC4-5D6E-409C-BE32-E72D297353CC}">
                <c16:uniqueId val="{00000005-7941-E541-B19D-11E592739307}"/>
              </c:ext>
            </c:extLst>
          </c:dPt>
          <c:dPt>
            <c:idx val="3"/>
            <c:invertIfNegative val="1"/>
            <c:bubble3D val="0"/>
            <c:spPr>
              <a:solidFill>
                <a:srgbClr val="000000"/>
              </a:solidFill>
              <a:ln w="0">
                <a:noFill/>
              </a:ln>
            </c:spPr>
            <c:extLst>
              <c:ext xmlns:c16="http://schemas.microsoft.com/office/drawing/2014/chart" uri="{C3380CC4-5D6E-409C-BE32-E72D297353CC}">
                <c16:uniqueId val="{00000007-7941-E541-B19D-11E592739307}"/>
              </c:ext>
            </c:extLst>
          </c:dPt>
          <c:dPt>
            <c:idx val="4"/>
            <c:invertIfNegative val="1"/>
            <c:bubble3D val="0"/>
            <c:spPr>
              <a:solidFill>
                <a:srgbClr val="000000"/>
              </a:solidFill>
              <a:ln w="0">
                <a:noFill/>
              </a:ln>
            </c:spPr>
            <c:extLst>
              <c:ext xmlns:c16="http://schemas.microsoft.com/office/drawing/2014/chart" uri="{C3380CC4-5D6E-409C-BE32-E72D297353CC}">
                <c16:uniqueId val="{00000009-7941-E541-B19D-11E592739307}"/>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941-E541-B19D-11E592739307}"/>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941-E541-B19D-11E592739307}"/>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941-E541-B19D-11E592739307}"/>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941-E541-B19D-11E592739307}"/>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7941-E541-B19D-11E592739307}"/>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Summary!$K$6:$K$10</c:f>
              <c:strCache>
                <c:ptCount val="5"/>
                <c:pt idx="0">
                  <c:v>AIF</c:v>
                </c:pt>
                <c:pt idx="1">
                  <c:v>Action control</c:v>
                </c:pt>
                <c:pt idx="2">
                  <c:v>Decision making</c:v>
                </c:pt>
                <c:pt idx="3">
                  <c:v>OFC (optimal feedback control)</c:v>
                </c:pt>
                <c:pt idx="4">
                  <c:v>Saliency</c:v>
                </c:pt>
              </c:strCache>
            </c:strRef>
          </c:cat>
          <c:val>
            <c:numRef>
              <c:f>Summary!$L$6:$L$10</c:f>
              <c:numCache>
                <c:formatCode>General</c:formatCode>
                <c:ptCount val="5"/>
                <c:pt idx="0">
                  <c:v>38</c:v>
                </c:pt>
                <c:pt idx="1">
                  <c:v>91</c:v>
                </c:pt>
                <c:pt idx="2">
                  <c:v>41</c:v>
                </c:pt>
                <c:pt idx="3">
                  <c:v>35</c:v>
                </c:pt>
                <c:pt idx="4">
                  <c:v>67</c:v>
                </c:pt>
              </c:numCache>
            </c:numRef>
          </c:val>
          <c:extLst>
            <c:ext xmlns:c16="http://schemas.microsoft.com/office/drawing/2014/chart" uri="{C3380CC4-5D6E-409C-BE32-E72D297353CC}">
              <c16:uniqueId val="{0000000A-7941-E541-B19D-11E592739307}"/>
            </c:ext>
          </c:extLst>
        </c:ser>
        <c:dLbls>
          <c:showLegendKey val="0"/>
          <c:showVal val="0"/>
          <c:showCatName val="0"/>
          <c:showSerName val="0"/>
          <c:showPercent val="0"/>
          <c:showBubbleSize val="0"/>
        </c:dLbls>
        <c:gapWidth val="150"/>
        <c:axId val="64899609"/>
        <c:axId val="30571989"/>
      </c:barChart>
      <c:catAx>
        <c:axId val="64899609"/>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30571989"/>
        <c:crosses val="autoZero"/>
        <c:auto val="1"/>
        <c:lblAlgn val="ctr"/>
        <c:lblOffset val="100"/>
        <c:noMultiLvlLbl val="0"/>
      </c:catAx>
      <c:valAx>
        <c:axId val="30571989"/>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64899609"/>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xdr:row>
      <xdr:rowOff>123840</xdr:rowOff>
    </xdr:from>
    <xdr:to>
      <xdr:col>23</xdr:col>
      <xdr:colOff>62640</xdr:colOff>
      <xdr:row>25</xdr:row>
      <xdr:rowOff>37080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27</xdr:row>
      <xdr:rowOff>95400</xdr:rowOff>
    </xdr:from>
    <xdr:to>
      <xdr:col>23</xdr:col>
      <xdr:colOff>62640</xdr:colOff>
      <xdr:row>44</xdr:row>
      <xdr:rowOff>93960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45</xdr:row>
      <xdr:rowOff>95400</xdr:rowOff>
    </xdr:from>
    <xdr:to>
      <xdr:col>23</xdr:col>
      <xdr:colOff>62640</xdr:colOff>
      <xdr:row>60</xdr:row>
      <xdr:rowOff>113040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60</xdr:row>
      <xdr:rowOff>95400</xdr:rowOff>
    </xdr:from>
    <xdr:to>
      <xdr:col>23</xdr:col>
      <xdr:colOff>62640</xdr:colOff>
      <xdr:row>71</xdr:row>
      <xdr:rowOff>151920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998"/>
  <sheetViews>
    <sheetView showGridLines="0" topLeftCell="A3" zoomScaleNormal="100" workbookViewId="0">
      <selection activeCell="B11" sqref="B11"/>
    </sheetView>
  </sheetViews>
  <sheetFormatPr baseColWidth="10" defaultColWidth="14.5" defaultRowHeight="15" x14ac:dyDescent="0.2"/>
  <cols>
    <col min="1" max="1" width="8.6640625" customWidth="1"/>
    <col min="2" max="2" width="120" customWidth="1"/>
    <col min="3" max="26" width="8.6640625" customWidth="1"/>
  </cols>
  <sheetData>
    <row r="1" spans="2:2" x14ac:dyDescent="0.2">
      <c r="B1" s="2"/>
    </row>
    <row r="2" spans="2:2" ht="18" customHeight="1" x14ac:dyDescent="0.2">
      <c r="B2" s="3" t="s">
        <v>0</v>
      </c>
    </row>
    <row r="3" spans="2:2" ht="31.5" customHeight="1" x14ac:dyDescent="0.2">
      <c r="B3" s="4" t="s">
        <v>1</v>
      </c>
    </row>
    <row r="4" spans="2:2" x14ac:dyDescent="0.2">
      <c r="B4" s="2"/>
    </row>
    <row r="5" spans="2:2" ht="18" customHeight="1" x14ac:dyDescent="0.2">
      <c r="B5" s="5" t="s">
        <v>2</v>
      </c>
    </row>
    <row r="6" spans="2:2" ht="31.5" customHeight="1" x14ac:dyDescent="0.2">
      <c r="B6" s="6" t="s">
        <v>3</v>
      </c>
    </row>
    <row r="7" spans="2:2" ht="31.5" customHeight="1" x14ac:dyDescent="0.2">
      <c r="B7" s="6" t="s">
        <v>4</v>
      </c>
    </row>
    <row r="8" spans="2:2" ht="18" customHeight="1" x14ac:dyDescent="0.2">
      <c r="B8" s="6" t="s">
        <v>5</v>
      </c>
    </row>
    <row r="9" spans="2:2" ht="18" customHeight="1" x14ac:dyDescent="0.2">
      <c r="B9" s="2"/>
    </row>
    <row r="10" spans="2:2" ht="18" customHeight="1" x14ac:dyDescent="0.2">
      <c r="B10" s="5" t="s">
        <v>6</v>
      </c>
    </row>
    <row r="11" spans="2:2" ht="96" customHeight="1" x14ac:dyDescent="0.2">
      <c r="B11" s="6" t="s">
        <v>7</v>
      </c>
    </row>
    <row r="12" spans="2:2" ht="15.75" customHeight="1" x14ac:dyDescent="0.2">
      <c r="B12" s="7" t="s">
        <v>8</v>
      </c>
    </row>
    <row r="13" spans="2:2" ht="18" customHeight="1" x14ac:dyDescent="0.2">
      <c r="B13" s="2"/>
    </row>
    <row r="14" spans="2:2" ht="18" customHeight="1" x14ac:dyDescent="0.2">
      <c r="B14" s="5" t="s">
        <v>9</v>
      </c>
    </row>
    <row r="15" spans="2:2" ht="18" customHeight="1" x14ac:dyDescent="0.2">
      <c r="B15" s="6" t="s">
        <v>10</v>
      </c>
    </row>
    <row r="16" spans="2:2" ht="18" customHeight="1" x14ac:dyDescent="0.2">
      <c r="B16" s="6" t="s">
        <v>11</v>
      </c>
    </row>
    <row r="17" spans="2:2" ht="18" customHeight="1" x14ac:dyDescent="0.2">
      <c r="B17" s="6" t="s">
        <v>12</v>
      </c>
    </row>
    <row r="18" spans="2:2" ht="18" customHeight="1" x14ac:dyDescent="0.2">
      <c r="B18" s="6" t="s">
        <v>13</v>
      </c>
    </row>
    <row r="19" spans="2:2" ht="18" customHeight="1" x14ac:dyDescent="0.2">
      <c r="B19" s="6" t="s">
        <v>14</v>
      </c>
    </row>
    <row r="20" spans="2:2" ht="18" customHeight="1" x14ac:dyDescent="0.2">
      <c r="B20" s="6" t="s">
        <v>15</v>
      </c>
    </row>
    <row r="21" spans="2:2" ht="18" customHeight="1" x14ac:dyDescent="0.2">
      <c r="B21" s="2"/>
    </row>
    <row r="22" spans="2:2" ht="18" customHeight="1" x14ac:dyDescent="0.2">
      <c r="B22" s="2"/>
    </row>
    <row r="23" spans="2:2" ht="15.75" customHeight="1" x14ac:dyDescent="0.2">
      <c r="B23" s="5" t="s">
        <v>16</v>
      </c>
    </row>
    <row r="24" spans="2:2" ht="18" customHeight="1" x14ac:dyDescent="0.2">
      <c r="B24" s="6" t="s">
        <v>17</v>
      </c>
    </row>
    <row r="25" spans="2:2" ht="18" customHeight="1" x14ac:dyDescent="0.2">
      <c r="B25" s="6" t="s">
        <v>18</v>
      </c>
    </row>
    <row r="26" spans="2:2" ht="31.5" customHeight="1" x14ac:dyDescent="0.2">
      <c r="B26" s="6" t="s">
        <v>19</v>
      </c>
    </row>
    <row r="27" spans="2:2" ht="15.75" customHeight="1" x14ac:dyDescent="0.2">
      <c r="B27" s="6" t="s">
        <v>20</v>
      </c>
    </row>
    <row r="28" spans="2:2" ht="31.5" customHeight="1" x14ac:dyDescent="0.2">
      <c r="B28" s="6" t="s">
        <v>21</v>
      </c>
    </row>
    <row r="29" spans="2:2" ht="18" customHeight="1" x14ac:dyDescent="0.2">
      <c r="B29" s="6" t="s">
        <v>22</v>
      </c>
    </row>
    <row r="30" spans="2:2" ht="15.75" customHeight="1" x14ac:dyDescent="0.2">
      <c r="B30" s="6" t="s">
        <v>23</v>
      </c>
    </row>
    <row r="31" spans="2:2" ht="18" customHeight="1" x14ac:dyDescent="0.2">
      <c r="B31" s="6" t="s">
        <v>24</v>
      </c>
    </row>
    <row r="32" spans="2:2" ht="18" customHeight="1" x14ac:dyDescent="0.2">
      <c r="B32" s="6" t="s">
        <v>25</v>
      </c>
    </row>
    <row r="33" spans="2:2" ht="18" customHeight="1" x14ac:dyDescent="0.2">
      <c r="B33" s="2"/>
    </row>
    <row r="34" spans="2:2" ht="15.75" customHeight="1" x14ac:dyDescent="0.2">
      <c r="B34" s="2"/>
    </row>
    <row r="35" spans="2:2" ht="15.75" customHeight="1" x14ac:dyDescent="0.2">
      <c r="B35" s="2"/>
    </row>
    <row r="36" spans="2:2" ht="15.75" customHeight="1" x14ac:dyDescent="0.2">
      <c r="B36" s="2"/>
    </row>
    <row r="37" spans="2:2" ht="15.75" customHeight="1" x14ac:dyDescent="0.2">
      <c r="B37" s="2"/>
    </row>
    <row r="38" spans="2:2" ht="15.75" customHeight="1" x14ac:dyDescent="0.2">
      <c r="B38" s="2"/>
    </row>
    <row r="39" spans="2:2" ht="15.75" customHeight="1" x14ac:dyDescent="0.2">
      <c r="B39" s="2"/>
    </row>
    <row r="40" spans="2:2" ht="15.75" customHeight="1" x14ac:dyDescent="0.2">
      <c r="B40" s="2"/>
    </row>
    <row r="41" spans="2:2" ht="15.75" customHeight="1" x14ac:dyDescent="0.2">
      <c r="B41" s="2"/>
    </row>
    <row r="42" spans="2:2" ht="15.75" customHeight="1" x14ac:dyDescent="0.2">
      <c r="B42" s="2"/>
    </row>
    <row r="43" spans="2:2" ht="15.75" customHeight="1" x14ac:dyDescent="0.2">
      <c r="B43" s="2"/>
    </row>
    <row r="44" spans="2:2" ht="15.75" customHeight="1" x14ac:dyDescent="0.2">
      <c r="B44" s="2"/>
    </row>
    <row r="45" spans="2:2" ht="15.75" customHeight="1" x14ac:dyDescent="0.2">
      <c r="B45" s="2"/>
    </row>
    <row r="46" spans="2:2" ht="15.75" customHeight="1" x14ac:dyDescent="0.2">
      <c r="B46" s="2"/>
    </row>
    <row r="47" spans="2:2" ht="15.75" customHeight="1" x14ac:dyDescent="0.2">
      <c r="B47" s="2"/>
    </row>
    <row r="48" spans="2:2" ht="15.75" customHeight="1" x14ac:dyDescent="0.2">
      <c r="B48" s="2"/>
    </row>
    <row r="49" spans="2:2" ht="15.75" customHeight="1" x14ac:dyDescent="0.2">
      <c r="B49" s="2"/>
    </row>
    <row r="50" spans="2:2" ht="15.75" customHeight="1" x14ac:dyDescent="0.2">
      <c r="B50" s="2"/>
    </row>
    <row r="51" spans="2:2" ht="15.75" customHeight="1" x14ac:dyDescent="0.2">
      <c r="B51" s="2"/>
    </row>
    <row r="52" spans="2:2" ht="15.75" customHeight="1" x14ac:dyDescent="0.2">
      <c r="B52" s="2"/>
    </row>
    <row r="53" spans="2:2" ht="15.75" customHeight="1" x14ac:dyDescent="0.2">
      <c r="B53" s="2"/>
    </row>
    <row r="54" spans="2:2" ht="15.75" customHeight="1" x14ac:dyDescent="0.2">
      <c r="B54" s="2"/>
    </row>
    <row r="55" spans="2:2" ht="15.75" customHeight="1" x14ac:dyDescent="0.2">
      <c r="B55" s="2"/>
    </row>
    <row r="56" spans="2:2" ht="15.75" customHeight="1" x14ac:dyDescent="0.2">
      <c r="B56" s="2"/>
    </row>
    <row r="57" spans="2:2" ht="15.75" customHeight="1" x14ac:dyDescent="0.2">
      <c r="B57" s="2"/>
    </row>
    <row r="58" spans="2:2" ht="15.75" customHeight="1" x14ac:dyDescent="0.2">
      <c r="B58" s="2"/>
    </row>
    <row r="59" spans="2:2" ht="15.75" customHeight="1" x14ac:dyDescent="0.2">
      <c r="B59" s="2"/>
    </row>
    <row r="60" spans="2:2" ht="15.75" customHeight="1" x14ac:dyDescent="0.2">
      <c r="B60" s="2"/>
    </row>
    <row r="61" spans="2:2" ht="15.75" customHeight="1" x14ac:dyDescent="0.2">
      <c r="B61" s="2"/>
    </row>
    <row r="62" spans="2:2" ht="15.75" customHeight="1" x14ac:dyDescent="0.2">
      <c r="B62" s="2"/>
    </row>
    <row r="63" spans="2:2" ht="15.75" customHeight="1" x14ac:dyDescent="0.2">
      <c r="B63" s="2"/>
    </row>
    <row r="64" spans="2:2" ht="15.75" customHeight="1" x14ac:dyDescent="0.2">
      <c r="B64" s="2"/>
    </row>
    <row r="65" spans="2:2" ht="15.75" customHeight="1" x14ac:dyDescent="0.2">
      <c r="B65" s="2"/>
    </row>
    <row r="66" spans="2:2" ht="15.75" customHeight="1" x14ac:dyDescent="0.2">
      <c r="B66" s="2"/>
    </row>
    <row r="67" spans="2:2" ht="15.75" customHeight="1" x14ac:dyDescent="0.2">
      <c r="B67" s="2"/>
    </row>
    <row r="68" spans="2:2" ht="15.75" customHeight="1" x14ac:dyDescent="0.2">
      <c r="B68" s="2"/>
    </row>
    <row r="69" spans="2:2" ht="15.75" customHeight="1" x14ac:dyDescent="0.2">
      <c r="B69" s="2"/>
    </row>
    <row r="70" spans="2:2" ht="15.75" customHeight="1" x14ac:dyDescent="0.2">
      <c r="B70" s="2"/>
    </row>
    <row r="71" spans="2:2" ht="15.75" customHeight="1" x14ac:dyDescent="0.2">
      <c r="B71" s="2"/>
    </row>
    <row r="72" spans="2:2" ht="15.75" customHeight="1" x14ac:dyDescent="0.2">
      <c r="B72" s="2"/>
    </row>
    <row r="73" spans="2:2" ht="15.75" customHeight="1" x14ac:dyDescent="0.2">
      <c r="B73" s="2"/>
    </row>
    <row r="74" spans="2:2" ht="15.75" customHeight="1" x14ac:dyDescent="0.2">
      <c r="B74" s="2"/>
    </row>
    <row r="75" spans="2:2" ht="15.75" customHeight="1" x14ac:dyDescent="0.2">
      <c r="B75" s="2"/>
    </row>
    <row r="76" spans="2:2" ht="15.75" customHeight="1" x14ac:dyDescent="0.2">
      <c r="B76" s="2"/>
    </row>
    <row r="77" spans="2:2" ht="15.75" customHeight="1" x14ac:dyDescent="0.2">
      <c r="B77" s="2"/>
    </row>
    <row r="78" spans="2:2" ht="15.75" customHeight="1" x14ac:dyDescent="0.2">
      <c r="B78" s="2"/>
    </row>
    <row r="79" spans="2:2" ht="15.75" customHeight="1" x14ac:dyDescent="0.2">
      <c r="B79" s="2"/>
    </row>
    <row r="80" spans="2:2" ht="15.75" customHeight="1" x14ac:dyDescent="0.2">
      <c r="B80" s="2"/>
    </row>
    <row r="81" spans="2:2" ht="15.75" customHeight="1" x14ac:dyDescent="0.2">
      <c r="B81" s="2"/>
    </row>
    <row r="82" spans="2:2" ht="15.75" customHeight="1" x14ac:dyDescent="0.2">
      <c r="B82" s="2"/>
    </row>
    <row r="83" spans="2:2" ht="15.75" customHeight="1" x14ac:dyDescent="0.2">
      <c r="B83" s="2"/>
    </row>
    <row r="84" spans="2:2" ht="15.75" customHeight="1" x14ac:dyDescent="0.2">
      <c r="B84" s="2"/>
    </row>
    <row r="85" spans="2:2" ht="15.75" customHeight="1" x14ac:dyDescent="0.2">
      <c r="B85" s="2"/>
    </row>
    <row r="86" spans="2:2" ht="15.75" customHeight="1" x14ac:dyDescent="0.2">
      <c r="B86" s="2"/>
    </row>
    <row r="87" spans="2:2" ht="15.75" customHeight="1" x14ac:dyDescent="0.2">
      <c r="B87" s="2"/>
    </row>
    <row r="88" spans="2:2" ht="15.75" customHeight="1" x14ac:dyDescent="0.2">
      <c r="B88" s="2"/>
    </row>
    <row r="89" spans="2:2" ht="15.75" customHeight="1" x14ac:dyDescent="0.2">
      <c r="B89" s="2"/>
    </row>
    <row r="90" spans="2:2" ht="15.75" customHeight="1" x14ac:dyDescent="0.2">
      <c r="B90" s="2"/>
    </row>
    <row r="91" spans="2:2" ht="15.75" customHeight="1" x14ac:dyDescent="0.2">
      <c r="B91" s="2"/>
    </row>
    <row r="92" spans="2:2" ht="15.75" customHeight="1" x14ac:dyDescent="0.2">
      <c r="B92" s="2"/>
    </row>
    <row r="93" spans="2:2" ht="15.75" customHeight="1" x14ac:dyDescent="0.2">
      <c r="B93" s="2"/>
    </row>
    <row r="94" spans="2:2" ht="15.75" customHeight="1" x14ac:dyDescent="0.2">
      <c r="B94" s="2"/>
    </row>
    <row r="95" spans="2:2" ht="15.75" customHeight="1" x14ac:dyDescent="0.2">
      <c r="B95" s="2"/>
    </row>
    <row r="96" spans="2:2" ht="15.75" customHeight="1" x14ac:dyDescent="0.2">
      <c r="B96" s="2"/>
    </row>
    <row r="97" spans="2:2" ht="15.75" customHeight="1" x14ac:dyDescent="0.2">
      <c r="B97" s="2"/>
    </row>
    <row r="98" spans="2:2" ht="15.75" customHeight="1" x14ac:dyDescent="0.2">
      <c r="B98" s="2"/>
    </row>
    <row r="99" spans="2:2" ht="15.75" customHeight="1" x14ac:dyDescent="0.2">
      <c r="B99" s="2"/>
    </row>
    <row r="100" spans="2:2" ht="15.75" customHeight="1" x14ac:dyDescent="0.2">
      <c r="B100" s="2"/>
    </row>
    <row r="101" spans="2:2" ht="15.75" customHeight="1" x14ac:dyDescent="0.2">
      <c r="B101" s="2"/>
    </row>
    <row r="102" spans="2:2" ht="15.75" customHeight="1" x14ac:dyDescent="0.2">
      <c r="B102" s="2"/>
    </row>
    <row r="103" spans="2:2" ht="15.75" customHeight="1" x14ac:dyDescent="0.2">
      <c r="B103" s="2"/>
    </row>
    <row r="104" spans="2:2" ht="15.75" customHeight="1" x14ac:dyDescent="0.2">
      <c r="B104" s="2"/>
    </row>
    <row r="105" spans="2:2" ht="15.75" customHeight="1" x14ac:dyDescent="0.2">
      <c r="B105" s="2"/>
    </row>
    <row r="106" spans="2:2" ht="15.75" customHeight="1" x14ac:dyDescent="0.2">
      <c r="B106" s="2"/>
    </row>
    <row r="107" spans="2:2" ht="15.75" customHeight="1" x14ac:dyDescent="0.2">
      <c r="B107" s="2"/>
    </row>
    <row r="108" spans="2:2" ht="15.75" customHeight="1" x14ac:dyDescent="0.2">
      <c r="B108" s="2"/>
    </row>
    <row r="109" spans="2:2" ht="15.75" customHeight="1" x14ac:dyDescent="0.2">
      <c r="B109" s="2"/>
    </row>
    <row r="110" spans="2:2" ht="15.75" customHeight="1" x14ac:dyDescent="0.2">
      <c r="B110" s="2"/>
    </row>
    <row r="111" spans="2:2" ht="15.75" customHeight="1" x14ac:dyDescent="0.2">
      <c r="B111" s="2"/>
    </row>
    <row r="112" spans="2:2" ht="15.75" customHeight="1" x14ac:dyDescent="0.2">
      <c r="B112" s="2"/>
    </row>
    <row r="113" spans="2:2" ht="15.75" customHeight="1" x14ac:dyDescent="0.2">
      <c r="B113" s="2"/>
    </row>
    <row r="114" spans="2:2" ht="15.75" customHeight="1" x14ac:dyDescent="0.2">
      <c r="B114" s="2"/>
    </row>
    <row r="115" spans="2:2" ht="15.75" customHeight="1" x14ac:dyDescent="0.2">
      <c r="B115" s="2"/>
    </row>
    <row r="116" spans="2:2" ht="15.75" customHeight="1" x14ac:dyDescent="0.2">
      <c r="B116" s="2"/>
    </row>
    <row r="117" spans="2:2" ht="15.75" customHeight="1" x14ac:dyDescent="0.2">
      <c r="B117" s="2"/>
    </row>
    <row r="118" spans="2:2" ht="15.75" customHeight="1" x14ac:dyDescent="0.2">
      <c r="B118" s="2"/>
    </row>
    <row r="119" spans="2:2" ht="15.75" customHeight="1" x14ac:dyDescent="0.2">
      <c r="B119" s="2"/>
    </row>
    <row r="120" spans="2:2" ht="15.75" customHeight="1" x14ac:dyDescent="0.2">
      <c r="B120" s="2"/>
    </row>
    <row r="121" spans="2:2" ht="15.75" customHeight="1" x14ac:dyDescent="0.2">
      <c r="B121" s="2"/>
    </row>
    <row r="122" spans="2:2" ht="15.75" customHeight="1" x14ac:dyDescent="0.2">
      <c r="B122" s="2"/>
    </row>
    <row r="123" spans="2:2" ht="15.75" customHeight="1" x14ac:dyDescent="0.2">
      <c r="B123" s="2"/>
    </row>
    <row r="124" spans="2:2" ht="15.75" customHeight="1" x14ac:dyDescent="0.2">
      <c r="B124" s="2"/>
    </row>
    <row r="125" spans="2:2" ht="15.75" customHeight="1" x14ac:dyDescent="0.2">
      <c r="B125" s="2"/>
    </row>
    <row r="126" spans="2:2" ht="15.75" customHeight="1" x14ac:dyDescent="0.2">
      <c r="B126" s="2"/>
    </row>
    <row r="127" spans="2:2" ht="15.75" customHeight="1" x14ac:dyDescent="0.2">
      <c r="B127" s="2"/>
    </row>
    <row r="128" spans="2:2" ht="15.75" customHeight="1" x14ac:dyDescent="0.2">
      <c r="B128" s="2"/>
    </row>
    <row r="129" spans="2:2" ht="15.75" customHeight="1" x14ac:dyDescent="0.2">
      <c r="B129" s="2"/>
    </row>
    <row r="130" spans="2:2" ht="15.75" customHeight="1" x14ac:dyDescent="0.2">
      <c r="B130" s="2"/>
    </row>
    <row r="131" spans="2:2" ht="15.75" customHeight="1" x14ac:dyDescent="0.2">
      <c r="B131" s="2"/>
    </row>
    <row r="132" spans="2:2" ht="15.75" customHeight="1" x14ac:dyDescent="0.2">
      <c r="B132" s="2"/>
    </row>
    <row r="133" spans="2:2" ht="15.75" customHeight="1" x14ac:dyDescent="0.2">
      <c r="B133" s="2"/>
    </row>
    <row r="134" spans="2:2" ht="15.75" customHeight="1" x14ac:dyDescent="0.2">
      <c r="B134" s="2"/>
    </row>
    <row r="135" spans="2:2" ht="15.75" customHeight="1" x14ac:dyDescent="0.2">
      <c r="B135" s="2"/>
    </row>
    <row r="136" spans="2:2" ht="15.75" customHeight="1" x14ac:dyDescent="0.2">
      <c r="B136" s="2"/>
    </row>
    <row r="137" spans="2:2" ht="15.75" customHeight="1" x14ac:dyDescent="0.2">
      <c r="B137" s="2"/>
    </row>
    <row r="138" spans="2:2" ht="15.75" customHeight="1" x14ac:dyDescent="0.2">
      <c r="B138" s="2"/>
    </row>
    <row r="139" spans="2:2" ht="15.75" customHeight="1" x14ac:dyDescent="0.2">
      <c r="B139" s="2"/>
    </row>
    <row r="140" spans="2:2" ht="15.75" customHeight="1" x14ac:dyDescent="0.2">
      <c r="B140" s="2"/>
    </row>
    <row r="141" spans="2:2" ht="15.75" customHeight="1" x14ac:dyDescent="0.2">
      <c r="B141" s="2"/>
    </row>
    <row r="142" spans="2:2" ht="15.75" customHeight="1" x14ac:dyDescent="0.2">
      <c r="B142" s="2"/>
    </row>
    <row r="143" spans="2:2" ht="15.75" customHeight="1" x14ac:dyDescent="0.2">
      <c r="B143" s="2"/>
    </row>
    <row r="144" spans="2:2" ht="15.75" customHeight="1" x14ac:dyDescent="0.2">
      <c r="B144" s="2"/>
    </row>
    <row r="145" spans="2:2" ht="15.75" customHeight="1" x14ac:dyDescent="0.2">
      <c r="B145" s="2"/>
    </row>
    <row r="146" spans="2:2" ht="15.75" customHeight="1" x14ac:dyDescent="0.2">
      <c r="B146" s="2"/>
    </row>
    <row r="147" spans="2:2" ht="15.75" customHeight="1" x14ac:dyDescent="0.2">
      <c r="B147" s="2"/>
    </row>
    <row r="148" spans="2:2" ht="15.75" customHeight="1" x14ac:dyDescent="0.2">
      <c r="B148" s="2"/>
    </row>
    <row r="149" spans="2:2" ht="15.75" customHeight="1" x14ac:dyDescent="0.2">
      <c r="B149" s="2"/>
    </row>
    <row r="150" spans="2:2" ht="15.75" customHeight="1" x14ac:dyDescent="0.2">
      <c r="B150" s="2"/>
    </row>
    <row r="151" spans="2:2" ht="15.75" customHeight="1" x14ac:dyDescent="0.2">
      <c r="B151" s="2"/>
    </row>
    <row r="152" spans="2:2" ht="15.75" customHeight="1" x14ac:dyDescent="0.2">
      <c r="B152" s="2"/>
    </row>
    <row r="153" spans="2:2" ht="15.75" customHeight="1" x14ac:dyDescent="0.2">
      <c r="B153" s="2"/>
    </row>
    <row r="154" spans="2:2" ht="15.75" customHeight="1" x14ac:dyDescent="0.2">
      <c r="B154" s="2"/>
    </row>
    <row r="155" spans="2:2" ht="15.75" customHeight="1" x14ac:dyDescent="0.2">
      <c r="B155" s="2"/>
    </row>
    <row r="156" spans="2:2" ht="15.75" customHeight="1" x14ac:dyDescent="0.2">
      <c r="B156" s="2"/>
    </row>
    <row r="157" spans="2:2" ht="15.75" customHeight="1" x14ac:dyDescent="0.2">
      <c r="B157" s="2"/>
    </row>
    <row r="158" spans="2:2" ht="15.75" customHeight="1" x14ac:dyDescent="0.2">
      <c r="B158" s="2"/>
    </row>
    <row r="159" spans="2:2" ht="15.75" customHeight="1" x14ac:dyDescent="0.2">
      <c r="B159" s="2"/>
    </row>
    <row r="160" spans="2:2" ht="15.75" customHeight="1" x14ac:dyDescent="0.2">
      <c r="B160" s="2"/>
    </row>
    <row r="161" spans="2:2" ht="15.75" customHeight="1" x14ac:dyDescent="0.2">
      <c r="B161" s="2"/>
    </row>
    <row r="162" spans="2:2" ht="15.75" customHeight="1" x14ac:dyDescent="0.2">
      <c r="B162" s="2"/>
    </row>
    <row r="163" spans="2:2" ht="15.75" customHeight="1" x14ac:dyDescent="0.2">
      <c r="B163" s="2"/>
    </row>
    <row r="164" spans="2:2" ht="15.75" customHeight="1" x14ac:dyDescent="0.2">
      <c r="B164" s="2"/>
    </row>
    <row r="165" spans="2:2" ht="15.75" customHeight="1" x14ac:dyDescent="0.2">
      <c r="B165" s="2"/>
    </row>
    <row r="166" spans="2:2" ht="15.75" customHeight="1" x14ac:dyDescent="0.2">
      <c r="B166" s="2"/>
    </row>
    <row r="167" spans="2:2" ht="15.75" customHeight="1" x14ac:dyDescent="0.2">
      <c r="B167" s="2"/>
    </row>
    <row r="168" spans="2:2" ht="15.75" customHeight="1" x14ac:dyDescent="0.2">
      <c r="B168" s="2"/>
    </row>
    <row r="169" spans="2:2" ht="15.75" customHeight="1" x14ac:dyDescent="0.2">
      <c r="B169" s="2"/>
    </row>
    <row r="170" spans="2:2" ht="15.75" customHeight="1" x14ac:dyDescent="0.2">
      <c r="B170" s="2"/>
    </row>
    <row r="171" spans="2:2" ht="15.75" customHeight="1" x14ac:dyDescent="0.2">
      <c r="B171" s="2"/>
    </row>
    <row r="172" spans="2:2" ht="15.75" customHeight="1" x14ac:dyDescent="0.2">
      <c r="B172" s="2"/>
    </row>
    <row r="173" spans="2:2" ht="15.75" customHeight="1" x14ac:dyDescent="0.2">
      <c r="B173" s="2"/>
    </row>
    <row r="174" spans="2:2" ht="15.75" customHeight="1" x14ac:dyDescent="0.2">
      <c r="B174" s="2"/>
    </row>
    <row r="175" spans="2:2" ht="15.75" customHeight="1" x14ac:dyDescent="0.2">
      <c r="B175" s="2"/>
    </row>
    <row r="176" spans="2:2" ht="15.75" customHeight="1" x14ac:dyDescent="0.2">
      <c r="B176" s="2"/>
    </row>
    <row r="177" spans="2:2" ht="15.75" customHeight="1" x14ac:dyDescent="0.2">
      <c r="B177" s="2"/>
    </row>
    <row r="178" spans="2:2" ht="15.75" customHeight="1" x14ac:dyDescent="0.2">
      <c r="B178" s="2"/>
    </row>
    <row r="179" spans="2:2" ht="15.75" customHeight="1" x14ac:dyDescent="0.2">
      <c r="B179" s="2"/>
    </row>
    <row r="180" spans="2:2" ht="15.75" customHeight="1" x14ac:dyDescent="0.2">
      <c r="B180" s="2"/>
    </row>
    <row r="181" spans="2:2" ht="15.75" customHeight="1" x14ac:dyDescent="0.2">
      <c r="B181" s="2"/>
    </row>
    <row r="182" spans="2:2" ht="15.75" customHeight="1" x14ac:dyDescent="0.2">
      <c r="B182" s="2"/>
    </row>
    <row r="183" spans="2:2" ht="15.75" customHeight="1" x14ac:dyDescent="0.2">
      <c r="B183" s="2"/>
    </row>
    <row r="184" spans="2:2" ht="15.75" customHeight="1" x14ac:dyDescent="0.2">
      <c r="B184" s="2"/>
    </row>
    <row r="185" spans="2:2" ht="15.75" customHeight="1" x14ac:dyDescent="0.2">
      <c r="B185" s="2"/>
    </row>
    <row r="186" spans="2:2" ht="15.75" customHeight="1" x14ac:dyDescent="0.2">
      <c r="B186" s="2"/>
    </row>
    <row r="187" spans="2:2" ht="15.75" customHeight="1" x14ac:dyDescent="0.2">
      <c r="B187" s="2"/>
    </row>
    <row r="188" spans="2:2" ht="15.75" customHeight="1" x14ac:dyDescent="0.2">
      <c r="B188" s="2"/>
    </row>
    <row r="189" spans="2:2" ht="15.75" customHeight="1" x14ac:dyDescent="0.2">
      <c r="B189" s="2"/>
    </row>
    <row r="190" spans="2:2" ht="15.75" customHeight="1" x14ac:dyDescent="0.2">
      <c r="B190" s="2"/>
    </row>
    <row r="191" spans="2:2" ht="15.75" customHeight="1" x14ac:dyDescent="0.2">
      <c r="B191" s="2"/>
    </row>
    <row r="192" spans="2:2" ht="15.75" customHeight="1" x14ac:dyDescent="0.2">
      <c r="B192" s="2"/>
    </row>
    <row r="193" spans="2:2" ht="15.75" customHeight="1" x14ac:dyDescent="0.2">
      <c r="B193" s="2"/>
    </row>
    <row r="194" spans="2:2" ht="15.75" customHeight="1" x14ac:dyDescent="0.2">
      <c r="B194" s="2"/>
    </row>
    <row r="195" spans="2:2" ht="15.75" customHeight="1" x14ac:dyDescent="0.2">
      <c r="B195" s="2"/>
    </row>
    <row r="196" spans="2:2" ht="15.75" customHeight="1" x14ac:dyDescent="0.2">
      <c r="B196" s="2"/>
    </row>
    <row r="197" spans="2:2" ht="15.75" customHeight="1" x14ac:dyDescent="0.2">
      <c r="B197" s="2"/>
    </row>
    <row r="198" spans="2:2" ht="15.75" customHeight="1" x14ac:dyDescent="0.2">
      <c r="B198" s="2"/>
    </row>
    <row r="199" spans="2:2" ht="15.75" customHeight="1" x14ac:dyDescent="0.2">
      <c r="B199" s="2"/>
    </row>
    <row r="200" spans="2:2" ht="15.75" customHeight="1" x14ac:dyDescent="0.2">
      <c r="B200" s="2"/>
    </row>
    <row r="201" spans="2:2" ht="15.75" customHeight="1" x14ac:dyDescent="0.2">
      <c r="B201" s="2"/>
    </row>
    <row r="202" spans="2:2" ht="15.75" customHeight="1" x14ac:dyDescent="0.2">
      <c r="B202" s="2"/>
    </row>
    <row r="203" spans="2:2" ht="15.75" customHeight="1" x14ac:dyDescent="0.2">
      <c r="B203" s="2"/>
    </row>
    <row r="204" spans="2:2" ht="15.75" customHeight="1" x14ac:dyDescent="0.2">
      <c r="B204" s="2"/>
    </row>
    <row r="205" spans="2:2" ht="15.75" customHeight="1" x14ac:dyDescent="0.2">
      <c r="B205" s="2"/>
    </row>
    <row r="206" spans="2:2" ht="15.75" customHeight="1" x14ac:dyDescent="0.2">
      <c r="B206" s="2"/>
    </row>
    <row r="207" spans="2:2" ht="15.75" customHeight="1" x14ac:dyDescent="0.2">
      <c r="B207" s="2"/>
    </row>
    <row r="208" spans="2:2" ht="15.75" customHeight="1" x14ac:dyDescent="0.2">
      <c r="B208" s="2"/>
    </row>
    <row r="209" spans="2:2" ht="15.75" customHeight="1" x14ac:dyDescent="0.2">
      <c r="B209" s="2"/>
    </row>
    <row r="210" spans="2:2" ht="15.75" customHeight="1" x14ac:dyDescent="0.2">
      <c r="B210" s="2"/>
    </row>
    <row r="211" spans="2:2" ht="15.75" customHeight="1" x14ac:dyDescent="0.2">
      <c r="B211" s="2"/>
    </row>
    <row r="212" spans="2:2" ht="15.75" customHeight="1" x14ac:dyDescent="0.2">
      <c r="B212" s="2"/>
    </row>
    <row r="213" spans="2:2" ht="15.75" customHeight="1" x14ac:dyDescent="0.2">
      <c r="B213" s="2"/>
    </row>
    <row r="214" spans="2:2" ht="15.75" customHeight="1" x14ac:dyDescent="0.2">
      <c r="B214" s="2"/>
    </row>
    <row r="215" spans="2:2" ht="15.75" customHeight="1" x14ac:dyDescent="0.2">
      <c r="B215" s="2"/>
    </row>
    <row r="216" spans="2:2" ht="15.75" customHeight="1" x14ac:dyDescent="0.2">
      <c r="B216" s="2"/>
    </row>
    <row r="217" spans="2:2" ht="15.75" customHeight="1" x14ac:dyDescent="0.2">
      <c r="B217" s="2"/>
    </row>
    <row r="218" spans="2:2" ht="15.75" customHeight="1" x14ac:dyDescent="0.2">
      <c r="B218" s="2"/>
    </row>
    <row r="219" spans="2:2" ht="15.75" customHeight="1" x14ac:dyDescent="0.2">
      <c r="B219" s="2"/>
    </row>
    <row r="220" spans="2:2" ht="15.75" customHeight="1" x14ac:dyDescent="0.2">
      <c r="B220" s="2"/>
    </row>
    <row r="221" spans="2:2" ht="15.75" customHeight="1" x14ac:dyDescent="0.2">
      <c r="B221" s="2"/>
    </row>
    <row r="222" spans="2:2" ht="15.75" customHeight="1" x14ac:dyDescent="0.2">
      <c r="B222" s="2"/>
    </row>
    <row r="223" spans="2:2" ht="15.75" customHeight="1" x14ac:dyDescent="0.2">
      <c r="B223" s="2"/>
    </row>
    <row r="224" spans="2:2" ht="15.75" customHeight="1" x14ac:dyDescent="0.2">
      <c r="B224" s="2"/>
    </row>
    <row r="225" spans="2:2" ht="15.75" customHeight="1" x14ac:dyDescent="0.2">
      <c r="B225" s="2"/>
    </row>
    <row r="226" spans="2:2" ht="15.75" customHeight="1" x14ac:dyDescent="0.2">
      <c r="B226" s="2"/>
    </row>
    <row r="227" spans="2:2" ht="15.75" customHeight="1" x14ac:dyDescent="0.2">
      <c r="B227" s="2"/>
    </row>
    <row r="228" spans="2:2" ht="15.75" customHeight="1" x14ac:dyDescent="0.2">
      <c r="B228" s="2"/>
    </row>
    <row r="229" spans="2:2" ht="15.75" customHeight="1" x14ac:dyDescent="0.2">
      <c r="B229" s="2"/>
    </row>
    <row r="230" spans="2:2" ht="15.75" customHeight="1" x14ac:dyDescent="0.2">
      <c r="B230" s="2"/>
    </row>
    <row r="231" spans="2:2" ht="15.75" customHeight="1" x14ac:dyDescent="0.2">
      <c r="B231" s="2"/>
    </row>
    <row r="232" spans="2:2" ht="15.75" customHeight="1" x14ac:dyDescent="0.2">
      <c r="B232" s="2"/>
    </row>
    <row r="233" spans="2:2" ht="15.75" customHeight="1" x14ac:dyDescent="0.2">
      <c r="B233" s="2"/>
    </row>
    <row r="234" spans="2:2" ht="15.75" customHeight="1" x14ac:dyDescent="0.2">
      <c r="B234" s="2"/>
    </row>
    <row r="235" spans="2:2" ht="15.75" customHeight="1" x14ac:dyDescent="0.2">
      <c r="B235" s="2"/>
    </row>
    <row r="236" spans="2:2" ht="15.75" customHeight="1" x14ac:dyDescent="0.2">
      <c r="B236" s="2"/>
    </row>
    <row r="237" spans="2:2" ht="15.75" customHeight="1" x14ac:dyDescent="0.2">
      <c r="B237" s="2"/>
    </row>
    <row r="238" spans="2:2" ht="15.75" customHeight="1" x14ac:dyDescent="0.2">
      <c r="B238" s="2"/>
    </row>
    <row r="239" spans="2:2" ht="15.75" customHeight="1" x14ac:dyDescent="0.2">
      <c r="B239" s="2"/>
    </row>
    <row r="240" spans="2:2" ht="15.75" customHeight="1" x14ac:dyDescent="0.2">
      <c r="B240" s="2"/>
    </row>
    <row r="241" spans="2:2" ht="15.75" customHeight="1" x14ac:dyDescent="0.2">
      <c r="B241" s="2"/>
    </row>
    <row r="242" spans="2:2" ht="15.75" customHeight="1" x14ac:dyDescent="0.2">
      <c r="B242" s="2"/>
    </row>
    <row r="243" spans="2:2" ht="15.75" customHeight="1" x14ac:dyDescent="0.2">
      <c r="B243" s="2"/>
    </row>
    <row r="244" spans="2:2" ht="15.75" customHeight="1" x14ac:dyDescent="0.2">
      <c r="B244" s="2"/>
    </row>
    <row r="245" spans="2:2" ht="15.75" customHeight="1" x14ac:dyDescent="0.2">
      <c r="B245" s="2"/>
    </row>
    <row r="246" spans="2:2" ht="15.75" customHeight="1" x14ac:dyDescent="0.2">
      <c r="B246" s="2"/>
    </row>
    <row r="247" spans="2:2" ht="15.75" customHeight="1" x14ac:dyDescent="0.2">
      <c r="B247" s="2"/>
    </row>
    <row r="248" spans="2:2" ht="15.75" customHeight="1" x14ac:dyDescent="0.2">
      <c r="B248" s="2"/>
    </row>
    <row r="249" spans="2:2" ht="15.75" customHeight="1" x14ac:dyDescent="0.2">
      <c r="B249" s="2"/>
    </row>
    <row r="250" spans="2:2" ht="15.75" customHeight="1" x14ac:dyDescent="0.2">
      <c r="B250" s="2"/>
    </row>
    <row r="251" spans="2:2" ht="15.75" customHeight="1" x14ac:dyDescent="0.2">
      <c r="B251" s="2"/>
    </row>
    <row r="252" spans="2:2" ht="15.75" customHeight="1" x14ac:dyDescent="0.2">
      <c r="B252" s="2"/>
    </row>
    <row r="253" spans="2:2" ht="15.75" customHeight="1" x14ac:dyDescent="0.2">
      <c r="B253" s="2"/>
    </row>
    <row r="254" spans="2:2" ht="15.75" customHeight="1" x14ac:dyDescent="0.2">
      <c r="B254" s="2"/>
    </row>
    <row r="255" spans="2:2" ht="15.75" customHeight="1" x14ac:dyDescent="0.2">
      <c r="B255" s="2"/>
    </row>
    <row r="256" spans="2:2" ht="15.75" customHeight="1" x14ac:dyDescent="0.2">
      <c r="B256" s="2"/>
    </row>
    <row r="257" spans="2:2" ht="15.75" customHeight="1" x14ac:dyDescent="0.2">
      <c r="B257" s="2"/>
    </row>
    <row r="258" spans="2:2" ht="15.75" customHeight="1" x14ac:dyDescent="0.2">
      <c r="B258" s="2"/>
    </row>
    <row r="259" spans="2:2" ht="15.75" customHeight="1" x14ac:dyDescent="0.2">
      <c r="B259" s="2"/>
    </row>
    <row r="260" spans="2:2" ht="15.75" customHeight="1" x14ac:dyDescent="0.2">
      <c r="B260" s="2"/>
    </row>
    <row r="261" spans="2:2" ht="15.75" customHeight="1" x14ac:dyDescent="0.2">
      <c r="B261" s="2"/>
    </row>
    <row r="262" spans="2:2" ht="15.75" customHeight="1" x14ac:dyDescent="0.2">
      <c r="B262" s="2"/>
    </row>
    <row r="263" spans="2:2" ht="15.75" customHeight="1" x14ac:dyDescent="0.2">
      <c r="B263" s="2"/>
    </row>
    <row r="264" spans="2:2" ht="15.75" customHeight="1" x14ac:dyDescent="0.2">
      <c r="B264" s="2"/>
    </row>
    <row r="265" spans="2:2" ht="15.75" customHeight="1" x14ac:dyDescent="0.2">
      <c r="B265" s="2"/>
    </row>
    <row r="266" spans="2:2" ht="15.75" customHeight="1" x14ac:dyDescent="0.2">
      <c r="B266" s="2"/>
    </row>
    <row r="267" spans="2:2" ht="15.75" customHeight="1" x14ac:dyDescent="0.2">
      <c r="B267" s="2"/>
    </row>
    <row r="268" spans="2:2" ht="15.75" customHeight="1" x14ac:dyDescent="0.2">
      <c r="B268" s="2"/>
    </row>
    <row r="269" spans="2:2" ht="15.75" customHeight="1" x14ac:dyDescent="0.2">
      <c r="B269" s="2"/>
    </row>
    <row r="270" spans="2:2" ht="15.75" customHeight="1" x14ac:dyDescent="0.2">
      <c r="B270" s="2"/>
    </row>
    <row r="271" spans="2:2" ht="15.75" customHeight="1" x14ac:dyDescent="0.2">
      <c r="B271" s="2"/>
    </row>
    <row r="272" spans="2:2" ht="15.75" customHeight="1" x14ac:dyDescent="0.2">
      <c r="B272" s="2"/>
    </row>
    <row r="273" spans="2:2" ht="15.75" customHeight="1" x14ac:dyDescent="0.2">
      <c r="B273" s="2"/>
    </row>
    <row r="274" spans="2:2" ht="15.75" customHeight="1" x14ac:dyDescent="0.2">
      <c r="B274" s="2"/>
    </row>
    <row r="275" spans="2:2" ht="15.75" customHeight="1" x14ac:dyDescent="0.2">
      <c r="B275" s="2"/>
    </row>
    <row r="276" spans="2:2" ht="15.75" customHeight="1" x14ac:dyDescent="0.2">
      <c r="B276" s="2"/>
    </row>
    <row r="277" spans="2:2" ht="15.75" customHeight="1" x14ac:dyDescent="0.2">
      <c r="B277" s="2"/>
    </row>
    <row r="278" spans="2:2" ht="15.75" customHeight="1" x14ac:dyDescent="0.2">
      <c r="B278" s="2"/>
    </row>
    <row r="279" spans="2:2" ht="15.75" customHeight="1" x14ac:dyDescent="0.2">
      <c r="B279" s="2"/>
    </row>
    <row r="280" spans="2:2" ht="15.75" customHeight="1" x14ac:dyDescent="0.2">
      <c r="B280" s="2"/>
    </row>
    <row r="281" spans="2:2" ht="15.75" customHeight="1" x14ac:dyDescent="0.2">
      <c r="B281" s="2"/>
    </row>
    <row r="282" spans="2:2" ht="15.75" customHeight="1" x14ac:dyDescent="0.2">
      <c r="B282" s="2"/>
    </row>
    <row r="283" spans="2:2" ht="15.75" customHeight="1" x14ac:dyDescent="0.2">
      <c r="B283" s="2"/>
    </row>
    <row r="284" spans="2:2" ht="15.75" customHeight="1" x14ac:dyDescent="0.2">
      <c r="B284" s="2"/>
    </row>
    <row r="285" spans="2:2" ht="15.75" customHeight="1" x14ac:dyDescent="0.2">
      <c r="B285" s="2"/>
    </row>
    <row r="286" spans="2:2" ht="15.75" customHeight="1" x14ac:dyDescent="0.2">
      <c r="B286" s="2"/>
    </row>
    <row r="287" spans="2:2" ht="15.75" customHeight="1" x14ac:dyDescent="0.2">
      <c r="B287" s="2"/>
    </row>
    <row r="288" spans="2:2" ht="15.75" customHeight="1" x14ac:dyDescent="0.2">
      <c r="B288" s="2"/>
    </row>
    <row r="289" spans="2:2" ht="15.75" customHeight="1" x14ac:dyDescent="0.2">
      <c r="B289" s="2"/>
    </row>
    <row r="290" spans="2:2" ht="15.75" customHeight="1" x14ac:dyDescent="0.2">
      <c r="B290" s="2"/>
    </row>
    <row r="291" spans="2:2" ht="15.75" customHeight="1" x14ac:dyDescent="0.2">
      <c r="B291" s="2"/>
    </row>
    <row r="292" spans="2:2" ht="15.75" customHeight="1" x14ac:dyDescent="0.2">
      <c r="B292" s="2"/>
    </row>
    <row r="293" spans="2:2" ht="15.75" customHeight="1" x14ac:dyDescent="0.2">
      <c r="B293" s="2"/>
    </row>
    <row r="294" spans="2:2" ht="15.75" customHeight="1" x14ac:dyDescent="0.2">
      <c r="B294" s="2"/>
    </row>
    <row r="295" spans="2:2" ht="15.75" customHeight="1" x14ac:dyDescent="0.2">
      <c r="B295" s="2"/>
    </row>
    <row r="296" spans="2:2" ht="15.75" customHeight="1" x14ac:dyDescent="0.2">
      <c r="B296" s="2"/>
    </row>
    <row r="297" spans="2:2" ht="15.75" customHeight="1" x14ac:dyDescent="0.2">
      <c r="B297" s="2"/>
    </row>
    <row r="298" spans="2:2" ht="15.75" customHeight="1" x14ac:dyDescent="0.2">
      <c r="B298" s="2"/>
    </row>
    <row r="299" spans="2:2" ht="15.75" customHeight="1" x14ac:dyDescent="0.2">
      <c r="B299" s="2"/>
    </row>
    <row r="300" spans="2:2" ht="15.75" customHeight="1" x14ac:dyDescent="0.2">
      <c r="B300" s="2"/>
    </row>
    <row r="301" spans="2:2" ht="15.75" customHeight="1" x14ac:dyDescent="0.2">
      <c r="B301" s="2"/>
    </row>
    <row r="302" spans="2:2" ht="15.75" customHeight="1" x14ac:dyDescent="0.2">
      <c r="B302" s="2"/>
    </row>
    <row r="303" spans="2:2" ht="15.75" customHeight="1" x14ac:dyDescent="0.2">
      <c r="B303" s="2"/>
    </row>
    <row r="304" spans="2:2" ht="15.75" customHeight="1" x14ac:dyDescent="0.2">
      <c r="B304" s="2"/>
    </row>
    <row r="305" spans="2:2" ht="15.75" customHeight="1" x14ac:dyDescent="0.2">
      <c r="B305" s="2"/>
    </row>
    <row r="306" spans="2:2" ht="15.75" customHeight="1" x14ac:dyDescent="0.2">
      <c r="B306" s="2"/>
    </row>
    <row r="307" spans="2:2" ht="15.75" customHeight="1" x14ac:dyDescent="0.2">
      <c r="B307" s="2"/>
    </row>
    <row r="308" spans="2:2" ht="15.75" customHeight="1" x14ac:dyDescent="0.2">
      <c r="B308" s="2"/>
    </row>
    <row r="309" spans="2:2" ht="15.75" customHeight="1" x14ac:dyDescent="0.2">
      <c r="B309" s="2"/>
    </row>
    <row r="310" spans="2:2" ht="15.75" customHeight="1" x14ac:dyDescent="0.2">
      <c r="B310" s="2"/>
    </row>
    <row r="311" spans="2:2" ht="15.75" customHeight="1" x14ac:dyDescent="0.2">
      <c r="B311" s="2"/>
    </row>
    <row r="312" spans="2:2" ht="15.75" customHeight="1" x14ac:dyDescent="0.2">
      <c r="B312" s="2"/>
    </row>
    <row r="313" spans="2:2" ht="15.75" customHeight="1" x14ac:dyDescent="0.2">
      <c r="B313" s="2"/>
    </row>
    <row r="314" spans="2:2" ht="15.75" customHeight="1" x14ac:dyDescent="0.2">
      <c r="B314" s="2"/>
    </row>
    <row r="315" spans="2:2" ht="15.75" customHeight="1" x14ac:dyDescent="0.2">
      <c r="B315" s="2"/>
    </row>
    <row r="316" spans="2:2" ht="15.75" customHeight="1" x14ac:dyDescent="0.2">
      <c r="B316" s="2"/>
    </row>
    <row r="317" spans="2:2" ht="15.75" customHeight="1" x14ac:dyDescent="0.2">
      <c r="B317" s="2"/>
    </row>
    <row r="318" spans="2:2" ht="15.75" customHeight="1" x14ac:dyDescent="0.2">
      <c r="B318" s="2"/>
    </row>
    <row r="319" spans="2:2" ht="15.75" customHeight="1" x14ac:dyDescent="0.2">
      <c r="B319" s="2"/>
    </row>
    <row r="320" spans="2:2" ht="15.75" customHeight="1" x14ac:dyDescent="0.2">
      <c r="B320" s="2"/>
    </row>
    <row r="321" spans="2:2" ht="15.75" customHeight="1" x14ac:dyDescent="0.2">
      <c r="B321" s="2"/>
    </row>
    <row r="322" spans="2:2" ht="15.75" customHeight="1" x14ac:dyDescent="0.2">
      <c r="B322" s="2"/>
    </row>
    <row r="323" spans="2:2" ht="15.75" customHeight="1" x14ac:dyDescent="0.2">
      <c r="B323" s="2"/>
    </row>
    <row r="324" spans="2:2" ht="15.75" customHeight="1" x14ac:dyDescent="0.2">
      <c r="B324" s="2"/>
    </row>
    <row r="325" spans="2:2" ht="15.75" customHeight="1" x14ac:dyDescent="0.2">
      <c r="B325" s="2"/>
    </row>
    <row r="326" spans="2:2" ht="15.75" customHeight="1" x14ac:dyDescent="0.2">
      <c r="B326" s="2"/>
    </row>
    <row r="327" spans="2:2" ht="15.75" customHeight="1" x14ac:dyDescent="0.2">
      <c r="B327" s="2"/>
    </row>
    <row r="328" spans="2:2" ht="15.75" customHeight="1" x14ac:dyDescent="0.2">
      <c r="B328" s="2"/>
    </row>
    <row r="329" spans="2:2" ht="15.75" customHeight="1" x14ac:dyDescent="0.2">
      <c r="B329" s="2"/>
    </row>
    <row r="330" spans="2:2" ht="15.75" customHeight="1" x14ac:dyDescent="0.2">
      <c r="B330" s="2"/>
    </row>
    <row r="331" spans="2:2" ht="15.75" customHeight="1" x14ac:dyDescent="0.2">
      <c r="B331" s="2"/>
    </row>
    <row r="332" spans="2:2" ht="15.75" customHeight="1" x14ac:dyDescent="0.2">
      <c r="B332" s="2"/>
    </row>
    <row r="333" spans="2:2" ht="15.75" customHeight="1" x14ac:dyDescent="0.2">
      <c r="B333" s="2"/>
    </row>
    <row r="334" spans="2:2" ht="15.75" customHeight="1" x14ac:dyDescent="0.2">
      <c r="B334" s="2"/>
    </row>
    <row r="335" spans="2:2" ht="15.75" customHeight="1" x14ac:dyDescent="0.2">
      <c r="B335" s="2"/>
    </row>
    <row r="336" spans="2:2" ht="15.75" customHeight="1" x14ac:dyDescent="0.2">
      <c r="B336" s="2"/>
    </row>
    <row r="337" spans="2:2" ht="15.75" customHeight="1" x14ac:dyDescent="0.2">
      <c r="B337" s="2"/>
    </row>
    <row r="338" spans="2:2" ht="15.75" customHeight="1" x14ac:dyDescent="0.2">
      <c r="B338" s="2"/>
    </row>
    <row r="339" spans="2:2" ht="15.75" customHeight="1" x14ac:dyDescent="0.2">
      <c r="B339" s="2"/>
    </row>
    <row r="340" spans="2:2" ht="15.75" customHeight="1" x14ac:dyDescent="0.2">
      <c r="B340" s="2"/>
    </row>
    <row r="341" spans="2:2" ht="15.75" customHeight="1" x14ac:dyDescent="0.2">
      <c r="B341" s="2"/>
    </row>
    <row r="342" spans="2:2" ht="15.75" customHeight="1" x14ac:dyDescent="0.2">
      <c r="B342" s="2"/>
    </row>
    <row r="343" spans="2:2" ht="15.75" customHeight="1" x14ac:dyDescent="0.2">
      <c r="B343" s="2"/>
    </row>
    <row r="344" spans="2:2" ht="15.75" customHeight="1" x14ac:dyDescent="0.2">
      <c r="B344" s="2"/>
    </row>
    <row r="345" spans="2:2" ht="15.75" customHeight="1" x14ac:dyDescent="0.2">
      <c r="B345" s="2"/>
    </row>
    <row r="346" spans="2:2" ht="15.75" customHeight="1" x14ac:dyDescent="0.2">
      <c r="B346" s="2"/>
    </row>
    <row r="347" spans="2:2" ht="15.75" customHeight="1" x14ac:dyDescent="0.2">
      <c r="B347" s="2"/>
    </row>
    <row r="348" spans="2:2" ht="15.75" customHeight="1" x14ac:dyDescent="0.2">
      <c r="B348" s="2"/>
    </row>
    <row r="349" spans="2:2" ht="15.75" customHeight="1" x14ac:dyDescent="0.2">
      <c r="B349" s="2"/>
    </row>
    <row r="350" spans="2:2" ht="15.75" customHeight="1" x14ac:dyDescent="0.2">
      <c r="B350" s="2"/>
    </row>
    <row r="351" spans="2:2" ht="15.75" customHeight="1" x14ac:dyDescent="0.2">
      <c r="B351" s="2"/>
    </row>
    <row r="352" spans="2:2" ht="15.75" customHeight="1" x14ac:dyDescent="0.2">
      <c r="B352" s="2"/>
    </row>
    <row r="353" spans="2:2" ht="15.75" customHeight="1" x14ac:dyDescent="0.2">
      <c r="B353" s="2"/>
    </row>
    <row r="354" spans="2:2" ht="15.75" customHeight="1" x14ac:dyDescent="0.2">
      <c r="B354" s="2"/>
    </row>
    <row r="355" spans="2:2" ht="15.75" customHeight="1" x14ac:dyDescent="0.2">
      <c r="B355" s="2"/>
    </row>
    <row r="356" spans="2:2" ht="15.75" customHeight="1" x14ac:dyDescent="0.2">
      <c r="B356" s="2"/>
    </row>
    <row r="357" spans="2:2" ht="15.75" customHeight="1" x14ac:dyDescent="0.2">
      <c r="B357" s="2"/>
    </row>
    <row r="358" spans="2:2" ht="15.75" customHeight="1" x14ac:dyDescent="0.2">
      <c r="B358" s="2"/>
    </row>
    <row r="359" spans="2:2" ht="15.75" customHeight="1" x14ac:dyDescent="0.2">
      <c r="B359" s="2"/>
    </row>
    <row r="360" spans="2:2" ht="15.75" customHeight="1" x14ac:dyDescent="0.2">
      <c r="B360" s="2"/>
    </row>
    <row r="361" spans="2:2" ht="15.75" customHeight="1" x14ac:dyDescent="0.2">
      <c r="B361" s="2"/>
    </row>
    <row r="362" spans="2:2" ht="15.75" customHeight="1" x14ac:dyDescent="0.2">
      <c r="B362" s="2"/>
    </row>
    <row r="363" spans="2:2" ht="15.75" customHeight="1" x14ac:dyDescent="0.2">
      <c r="B363" s="2"/>
    </row>
    <row r="364" spans="2:2" ht="15.75" customHeight="1" x14ac:dyDescent="0.2">
      <c r="B364" s="2"/>
    </row>
    <row r="365" spans="2:2" ht="15.75" customHeight="1" x14ac:dyDescent="0.2">
      <c r="B365" s="2"/>
    </row>
    <row r="366" spans="2:2" ht="15.75" customHeight="1" x14ac:dyDescent="0.2">
      <c r="B366" s="2"/>
    </row>
    <row r="367" spans="2:2" ht="15.75" customHeight="1" x14ac:dyDescent="0.2">
      <c r="B367" s="2"/>
    </row>
    <row r="368" spans="2:2" ht="15.75" customHeight="1" x14ac:dyDescent="0.2">
      <c r="B368" s="2"/>
    </row>
    <row r="369" spans="2:2" ht="15.75" customHeight="1" x14ac:dyDescent="0.2">
      <c r="B369" s="2"/>
    </row>
    <row r="370" spans="2:2" ht="15.75" customHeight="1" x14ac:dyDescent="0.2">
      <c r="B370" s="2"/>
    </row>
    <row r="371" spans="2:2" ht="15.75" customHeight="1" x14ac:dyDescent="0.2">
      <c r="B371" s="2"/>
    </row>
    <row r="372" spans="2:2" ht="15.75" customHeight="1" x14ac:dyDescent="0.2">
      <c r="B372" s="2"/>
    </row>
    <row r="373" spans="2:2" ht="15.75" customHeight="1" x14ac:dyDescent="0.2">
      <c r="B373" s="2"/>
    </row>
    <row r="374" spans="2:2" ht="15.75" customHeight="1" x14ac:dyDescent="0.2">
      <c r="B374" s="2"/>
    </row>
    <row r="375" spans="2:2" ht="15.75" customHeight="1" x14ac:dyDescent="0.2">
      <c r="B375" s="2"/>
    </row>
    <row r="376" spans="2:2" ht="15.75" customHeight="1" x14ac:dyDescent="0.2">
      <c r="B376" s="2"/>
    </row>
    <row r="377" spans="2:2" ht="15.75" customHeight="1" x14ac:dyDescent="0.2">
      <c r="B377" s="2"/>
    </row>
    <row r="378" spans="2:2" ht="15.75" customHeight="1" x14ac:dyDescent="0.2">
      <c r="B378" s="2"/>
    </row>
    <row r="379" spans="2:2" ht="15.75" customHeight="1" x14ac:dyDescent="0.2">
      <c r="B379" s="2"/>
    </row>
    <row r="380" spans="2:2" ht="15.75" customHeight="1" x14ac:dyDescent="0.2">
      <c r="B380" s="2"/>
    </row>
    <row r="381" spans="2:2" ht="15.75" customHeight="1" x14ac:dyDescent="0.2">
      <c r="B381" s="2"/>
    </row>
    <row r="382" spans="2:2" ht="15.75" customHeight="1" x14ac:dyDescent="0.2">
      <c r="B382" s="2"/>
    </row>
    <row r="383" spans="2:2" ht="15.75" customHeight="1" x14ac:dyDescent="0.2">
      <c r="B383" s="2"/>
    </row>
    <row r="384" spans="2:2" ht="15.75" customHeight="1" x14ac:dyDescent="0.2">
      <c r="B384" s="2"/>
    </row>
    <row r="385" spans="2:2" ht="15.75" customHeight="1" x14ac:dyDescent="0.2">
      <c r="B385" s="2"/>
    </row>
    <row r="386" spans="2:2" ht="15.75" customHeight="1" x14ac:dyDescent="0.2">
      <c r="B386" s="2"/>
    </row>
    <row r="387" spans="2:2" ht="15.75" customHeight="1" x14ac:dyDescent="0.2">
      <c r="B387" s="2"/>
    </row>
    <row r="388" spans="2:2" ht="15.75" customHeight="1" x14ac:dyDescent="0.2">
      <c r="B388" s="2"/>
    </row>
    <row r="389" spans="2:2" ht="15.75" customHeight="1" x14ac:dyDescent="0.2">
      <c r="B389" s="2"/>
    </row>
    <row r="390" spans="2:2" ht="15.75" customHeight="1" x14ac:dyDescent="0.2">
      <c r="B390" s="2"/>
    </row>
    <row r="391" spans="2:2" ht="15.75" customHeight="1" x14ac:dyDescent="0.2">
      <c r="B391" s="2"/>
    </row>
    <row r="392" spans="2:2" ht="15.75" customHeight="1" x14ac:dyDescent="0.2">
      <c r="B392" s="2"/>
    </row>
    <row r="393" spans="2:2" ht="15.75" customHeight="1" x14ac:dyDescent="0.2">
      <c r="B393" s="2"/>
    </row>
    <row r="394" spans="2:2" ht="15.75" customHeight="1" x14ac:dyDescent="0.2">
      <c r="B394" s="2"/>
    </row>
    <row r="395" spans="2:2" ht="15.75" customHeight="1" x14ac:dyDescent="0.2">
      <c r="B395" s="2"/>
    </row>
    <row r="396" spans="2:2" ht="15.75" customHeight="1" x14ac:dyDescent="0.2">
      <c r="B396" s="2"/>
    </row>
    <row r="397" spans="2:2" ht="15.75" customHeight="1" x14ac:dyDescent="0.2">
      <c r="B397" s="2"/>
    </row>
    <row r="398" spans="2:2" ht="15.75" customHeight="1" x14ac:dyDescent="0.2">
      <c r="B398" s="2"/>
    </row>
    <row r="399" spans="2:2" ht="15.75" customHeight="1" x14ac:dyDescent="0.2">
      <c r="B399" s="2"/>
    </row>
    <row r="400" spans="2:2" ht="15.75" customHeight="1" x14ac:dyDescent="0.2">
      <c r="B400" s="2"/>
    </row>
    <row r="401" spans="2:2" ht="15.75" customHeight="1" x14ac:dyDescent="0.2">
      <c r="B401" s="2"/>
    </row>
    <row r="402" spans="2:2" ht="15.75" customHeight="1" x14ac:dyDescent="0.2">
      <c r="B402" s="2"/>
    </row>
    <row r="403" spans="2:2" ht="15.75" customHeight="1" x14ac:dyDescent="0.2">
      <c r="B403" s="2"/>
    </row>
    <row r="404" spans="2:2" ht="15.75" customHeight="1" x14ac:dyDescent="0.2">
      <c r="B404" s="2"/>
    </row>
    <row r="405" spans="2:2" ht="15.75" customHeight="1" x14ac:dyDescent="0.2">
      <c r="B405" s="2"/>
    </row>
    <row r="406" spans="2:2" ht="15.75" customHeight="1" x14ac:dyDescent="0.2">
      <c r="B406" s="2"/>
    </row>
    <row r="407" spans="2:2" ht="15.75" customHeight="1" x14ac:dyDescent="0.2">
      <c r="B407" s="2"/>
    </row>
    <row r="408" spans="2:2" ht="15.75" customHeight="1" x14ac:dyDescent="0.2">
      <c r="B408" s="2"/>
    </row>
    <row r="409" spans="2:2" ht="15.75" customHeight="1" x14ac:dyDescent="0.2">
      <c r="B409" s="2"/>
    </row>
    <row r="410" spans="2:2" ht="15.75" customHeight="1" x14ac:dyDescent="0.2">
      <c r="B410" s="2"/>
    </row>
    <row r="411" spans="2:2" ht="15.75" customHeight="1" x14ac:dyDescent="0.2">
      <c r="B411" s="2"/>
    </row>
    <row r="412" spans="2:2" ht="15.75" customHeight="1" x14ac:dyDescent="0.2">
      <c r="B412" s="2"/>
    </row>
    <row r="413" spans="2:2" ht="15.75" customHeight="1" x14ac:dyDescent="0.2">
      <c r="B413" s="2"/>
    </row>
    <row r="414" spans="2:2" ht="15.75" customHeight="1" x14ac:dyDescent="0.2">
      <c r="B414" s="2"/>
    </row>
    <row r="415" spans="2:2" ht="15.75" customHeight="1" x14ac:dyDescent="0.2">
      <c r="B415" s="2"/>
    </row>
    <row r="416" spans="2:2" ht="15.75" customHeight="1" x14ac:dyDescent="0.2">
      <c r="B416" s="2"/>
    </row>
    <row r="417" spans="2:2" ht="15.75" customHeight="1" x14ac:dyDescent="0.2">
      <c r="B417" s="2"/>
    </row>
    <row r="418" spans="2:2" ht="15.75" customHeight="1" x14ac:dyDescent="0.2">
      <c r="B418" s="2"/>
    </row>
    <row r="419" spans="2:2" ht="15.75" customHeight="1" x14ac:dyDescent="0.2">
      <c r="B419" s="2"/>
    </row>
    <row r="420" spans="2:2" ht="15.75" customHeight="1" x14ac:dyDescent="0.2">
      <c r="B420" s="2"/>
    </row>
    <row r="421" spans="2:2" ht="15.75" customHeight="1" x14ac:dyDescent="0.2">
      <c r="B421" s="2"/>
    </row>
    <row r="422" spans="2:2" ht="15.75" customHeight="1" x14ac:dyDescent="0.2">
      <c r="B422" s="2"/>
    </row>
    <row r="423" spans="2:2" ht="15.75" customHeight="1" x14ac:dyDescent="0.2">
      <c r="B423" s="2"/>
    </row>
    <row r="424" spans="2:2" ht="15.75" customHeight="1" x14ac:dyDescent="0.2">
      <c r="B424" s="2"/>
    </row>
    <row r="425" spans="2:2" ht="15.75" customHeight="1" x14ac:dyDescent="0.2">
      <c r="B425" s="2"/>
    </row>
    <row r="426" spans="2:2" ht="15.75" customHeight="1" x14ac:dyDescent="0.2">
      <c r="B426" s="2"/>
    </row>
    <row r="427" spans="2:2" ht="15.75" customHeight="1" x14ac:dyDescent="0.2">
      <c r="B427" s="2"/>
    </row>
    <row r="428" spans="2:2" ht="15.75" customHeight="1" x14ac:dyDescent="0.2">
      <c r="B428" s="2"/>
    </row>
    <row r="429" spans="2:2" ht="15.75" customHeight="1" x14ac:dyDescent="0.2">
      <c r="B429" s="2"/>
    </row>
    <row r="430" spans="2:2" ht="15.75" customHeight="1" x14ac:dyDescent="0.2">
      <c r="B430" s="2"/>
    </row>
    <row r="431" spans="2:2" ht="15.75" customHeight="1" x14ac:dyDescent="0.2">
      <c r="B431" s="2"/>
    </row>
    <row r="432" spans="2:2" ht="15.75" customHeight="1" x14ac:dyDescent="0.2">
      <c r="B432" s="2"/>
    </row>
    <row r="433" spans="2:2" ht="15.75" customHeight="1" x14ac:dyDescent="0.2">
      <c r="B433" s="2"/>
    </row>
    <row r="434" spans="2:2" ht="15.75" customHeight="1" x14ac:dyDescent="0.2">
      <c r="B434" s="2"/>
    </row>
    <row r="435" spans="2:2" ht="15.75" customHeight="1" x14ac:dyDescent="0.2">
      <c r="B435" s="2"/>
    </row>
    <row r="436" spans="2:2" ht="15.75" customHeight="1" x14ac:dyDescent="0.2">
      <c r="B436" s="2"/>
    </row>
    <row r="437" spans="2:2" ht="15.75" customHeight="1" x14ac:dyDescent="0.2">
      <c r="B437" s="2"/>
    </row>
    <row r="438" spans="2:2" ht="15.75" customHeight="1" x14ac:dyDescent="0.2">
      <c r="B438" s="2"/>
    </row>
    <row r="439" spans="2:2" ht="15.75" customHeight="1" x14ac:dyDescent="0.2">
      <c r="B439" s="2"/>
    </row>
    <row r="440" spans="2:2" ht="15.75" customHeight="1" x14ac:dyDescent="0.2">
      <c r="B440" s="2"/>
    </row>
    <row r="441" spans="2:2" ht="15.75" customHeight="1" x14ac:dyDescent="0.2">
      <c r="B441" s="2"/>
    </row>
    <row r="442" spans="2:2" ht="15.75" customHeight="1" x14ac:dyDescent="0.2">
      <c r="B442" s="2"/>
    </row>
    <row r="443" spans="2:2" ht="15.75" customHeight="1" x14ac:dyDescent="0.2">
      <c r="B443" s="2"/>
    </row>
    <row r="444" spans="2:2" ht="15.75" customHeight="1" x14ac:dyDescent="0.2">
      <c r="B444" s="2"/>
    </row>
    <row r="445" spans="2:2" ht="15.75" customHeight="1" x14ac:dyDescent="0.2">
      <c r="B445" s="2"/>
    </row>
    <row r="446" spans="2:2" ht="15.75" customHeight="1" x14ac:dyDescent="0.2">
      <c r="B446" s="2"/>
    </row>
    <row r="447" spans="2:2" ht="15.75" customHeight="1" x14ac:dyDescent="0.2">
      <c r="B447" s="2"/>
    </row>
    <row r="448" spans="2:2" ht="15.75" customHeight="1" x14ac:dyDescent="0.2">
      <c r="B448" s="2"/>
    </row>
    <row r="449" spans="2:2" ht="15.75" customHeight="1" x14ac:dyDescent="0.2">
      <c r="B449" s="2"/>
    </row>
    <row r="450" spans="2:2" ht="15.75" customHeight="1" x14ac:dyDescent="0.2">
      <c r="B450" s="2"/>
    </row>
    <row r="451" spans="2:2" ht="15.75" customHeight="1" x14ac:dyDescent="0.2">
      <c r="B451" s="2"/>
    </row>
    <row r="452" spans="2:2" ht="15.75" customHeight="1" x14ac:dyDescent="0.2">
      <c r="B452" s="2"/>
    </row>
    <row r="453" spans="2:2" ht="15.75" customHeight="1" x14ac:dyDescent="0.2">
      <c r="B453" s="2"/>
    </row>
    <row r="454" spans="2:2" ht="15.75" customHeight="1" x14ac:dyDescent="0.2">
      <c r="B454" s="2"/>
    </row>
    <row r="455" spans="2:2" ht="15.75" customHeight="1" x14ac:dyDescent="0.2">
      <c r="B455" s="2"/>
    </row>
    <row r="456" spans="2:2" ht="15.75" customHeight="1" x14ac:dyDescent="0.2">
      <c r="B456" s="2"/>
    </row>
    <row r="457" spans="2:2" ht="15.75" customHeight="1" x14ac:dyDescent="0.2">
      <c r="B457" s="2"/>
    </row>
    <row r="458" spans="2:2" ht="15.75" customHeight="1" x14ac:dyDescent="0.2">
      <c r="B458" s="2"/>
    </row>
    <row r="459" spans="2:2" ht="15.75" customHeight="1" x14ac:dyDescent="0.2">
      <c r="B459" s="2"/>
    </row>
    <row r="460" spans="2:2" ht="15.75" customHeight="1" x14ac:dyDescent="0.2">
      <c r="B460" s="2"/>
    </row>
    <row r="461" spans="2:2" ht="15.75" customHeight="1" x14ac:dyDescent="0.2">
      <c r="B461" s="2"/>
    </row>
    <row r="462" spans="2:2" ht="15.75" customHeight="1" x14ac:dyDescent="0.2">
      <c r="B462" s="2"/>
    </row>
    <row r="463" spans="2:2" ht="15.75" customHeight="1" x14ac:dyDescent="0.2">
      <c r="B463" s="2"/>
    </row>
    <row r="464" spans="2:2" ht="15.75" customHeight="1" x14ac:dyDescent="0.2">
      <c r="B464" s="2"/>
    </row>
    <row r="465" spans="2:2" ht="15.75" customHeight="1" x14ac:dyDescent="0.2">
      <c r="B465" s="2"/>
    </row>
    <row r="466" spans="2:2" ht="15.75" customHeight="1" x14ac:dyDescent="0.2">
      <c r="B466" s="2"/>
    </row>
    <row r="467" spans="2:2" ht="15.75" customHeight="1" x14ac:dyDescent="0.2">
      <c r="B467" s="2"/>
    </row>
    <row r="468" spans="2:2" ht="15.75" customHeight="1" x14ac:dyDescent="0.2">
      <c r="B468" s="2"/>
    </row>
    <row r="469" spans="2:2" ht="15.75" customHeight="1" x14ac:dyDescent="0.2">
      <c r="B469" s="2"/>
    </row>
    <row r="470" spans="2:2" ht="15.75" customHeight="1" x14ac:dyDescent="0.2">
      <c r="B470" s="2"/>
    </row>
    <row r="471" spans="2:2" ht="15.75" customHeight="1" x14ac:dyDescent="0.2">
      <c r="B471" s="2"/>
    </row>
    <row r="472" spans="2:2" ht="15.75" customHeight="1" x14ac:dyDescent="0.2">
      <c r="B472" s="2"/>
    </row>
    <row r="473" spans="2:2" ht="15.75" customHeight="1" x14ac:dyDescent="0.2">
      <c r="B473" s="2"/>
    </row>
    <row r="474" spans="2:2" ht="15.75" customHeight="1" x14ac:dyDescent="0.2">
      <c r="B474" s="2"/>
    </row>
    <row r="475" spans="2:2" ht="15.75" customHeight="1" x14ac:dyDescent="0.2">
      <c r="B475" s="2"/>
    </row>
    <row r="476" spans="2:2" ht="15.75" customHeight="1" x14ac:dyDescent="0.2">
      <c r="B476" s="2"/>
    </row>
    <row r="477" spans="2:2" ht="15.75" customHeight="1" x14ac:dyDescent="0.2">
      <c r="B477" s="2"/>
    </row>
    <row r="478" spans="2:2" ht="15.75" customHeight="1" x14ac:dyDescent="0.2">
      <c r="B478" s="2"/>
    </row>
    <row r="479" spans="2:2" ht="15.75" customHeight="1" x14ac:dyDescent="0.2">
      <c r="B479" s="2"/>
    </row>
    <row r="480" spans="2:2" ht="15.75" customHeight="1" x14ac:dyDescent="0.2">
      <c r="B480" s="2"/>
    </row>
    <row r="481" spans="2:2" ht="15.75" customHeight="1" x14ac:dyDescent="0.2">
      <c r="B481" s="2"/>
    </row>
    <row r="482" spans="2:2" ht="15.75" customHeight="1" x14ac:dyDescent="0.2">
      <c r="B482" s="2"/>
    </row>
    <row r="483" spans="2:2" ht="15.75" customHeight="1" x14ac:dyDescent="0.2">
      <c r="B483" s="2"/>
    </row>
    <row r="484" spans="2:2" ht="15.75" customHeight="1" x14ac:dyDescent="0.2">
      <c r="B484" s="2"/>
    </row>
    <row r="485" spans="2:2" ht="15.75" customHeight="1" x14ac:dyDescent="0.2">
      <c r="B485" s="2"/>
    </row>
    <row r="486" spans="2:2" ht="15.75" customHeight="1" x14ac:dyDescent="0.2">
      <c r="B486" s="2"/>
    </row>
    <row r="487" spans="2:2" ht="15.75" customHeight="1" x14ac:dyDescent="0.2">
      <c r="B487" s="2"/>
    </row>
    <row r="488" spans="2:2" ht="15.75" customHeight="1" x14ac:dyDescent="0.2">
      <c r="B488" s="2"/>
    </row>
    <row r="489" spans="2:2" ht="15.75" customHeight="1" x14ac:dyDescent="0.2">
      <c r="B489" s="2"/>
    </row>
    <row r="490" spans="2:2" ht="15.75" customHeight="1" x14ac:dyDescent="0.2">
      <c r="B490" s="2"/>
    </row>
    <row r="491" spans="2:2" ht="15.75" customHeight="1" x14ac:dyDescent="0.2">
      <c r="B491" s="2"/>
    </row>
    <row r="492" spans="2:2" ht="15.75" customHeight="1" x14ac:dyDescent="0.2">
      <c r="B492" s="2"/>
    </row>
    <row r="493" spans="2:2" ht="15.75" customHeight="1" x14ac:dyDescent="0.2">
      <c r="B493" s="2"/>
    </row>
    <row r="494" spans="2:2" ht="15.75" customHeight="1" x14ac:dyDescent="0.2">
      <c r="B494" s="2"/>
    </row>
    <row r="495" spans="2:2" ht="15.75" customHeight="1" x14ac:dyDescent="0.2">
      <c r="B495" s="2"/>
    </row>
    <row r="496" spans="2:2" ht="15.75" customHeight="1" x14ac:dyDescent="0.2">
      <c r="B496" s="2"/>
    </row>
    <row r="497" spans="2:2" ht="15.75" customHeight="1" x14ac:dyDescent="0.2">
      <c r="B497" s="2"/>
    </row>
    <row r="498" spans="2:2" ht="15.75" customHeight="1" x14ac:dyDescent="0.2">
      <c r="B498" s="2"/>
    </row>
    <row r="499" spans="2:2" ht="15.75" customHeight="1" x14ac:dyDescent="0.2">
      <c r="B499" s="2"/>
    </row>
    <row r="500" spans="2:2" ht="15.75" customHeight="1" x14ac:dyDescent="0.2">
      <c r="B500" s="2"/>
    </row>
    <row r="501" spans="2:2" ht="15.75" customHeight="1" x14ac:dyDescent="0.2">
      <c r="B501" s="2"/>
    </row>
    <row r="502" spans="2:2" ht="15.75" customHeight="1" x14ac:dyDescent="0.2">
      <c r="B502" s="2"/>
    </row>
    <row r="503" spans="2:2" ht="15.75" customHeight="1" x14ac:dyDescent="0.2">
      <c r="B503" s="2"/>
    </row>
    <row r="504" spans="2:2" ht="15.75" customHeight="1" x14ac:dyDescent="0.2">
      <c r="B504" s="2"/>
    </row>
    <row r="505" spans="2:2" ht="15.75" customHeight="1" x14ac:dyDescent="0.2">
      <c r="B505" s="2"/>
    </row>
    <row r="506" spans="2:2" ht="15.75" customHeight="1" x14ac:dyDescent="0.2">
      <c r="B506" s="2"/>
    </row>
    <row r="507" spans="2:2" ht="15.75" customHeight="1" x14ac:dyDescent="0.2">
      <c r="B507" s="2"/>
    </row>
    <row r="508" spans="2:2" ht="15.75" customHeight="1" x14ac:dyDescent="0.2">
      <c r="B508" s="2"/>
    </row>
    <row r="509" spans="2:2" ht="15.75" customHeight="1" x14ac:dyDescent="0.2">
      <c r="B509" s="2"/>
    </row>
    <row r="510" spans="2:2" ht="15.75" customHeight="1" x14ac:dyDescent="0.2">
      <c r="B510" s="2"/>
    </row>
    <row r="511" spans="2:2" ht="15.75" customHeight="1" x14ac:dyDescent="0.2">
      <c r="B511" s="2"/>
    </row>
    <row r="512" spans="2:2" ht="15.75" customHeight="1" x14ac:dyDescent="0.2">
      <c r="B512" s="2"/>
    </row>
    <row r="513" spans="2:2" ht="15.75" customHeight="1" x14ac:dyDescent="0.2">
      <c r="B513" s="2"/>
    </row>
    <row r="514" spans="2:2" ht="15.75" customHeight="1" x14ac:dyDescent="0.2">
      <c r="B514" s="2"/>
    </row>
    <row r="515" spans="2:2" ht="15.75" customHeight="1" x14ac:dyDescent="0.2">
      <c r="B515" s="2"/>
    </row>
    <row r="516" spans="2:2" ht="15.75" customHeight="1" x14ac:dyDescent="0.2">
      <c r="B516" s="2"/>
    </row>
    <row r="517" spans="2:2" ht="15.75" customHeight="1" x14ac:dyDescent="0.2">
      <c r="B517" s="2"/>
    </row>
    <row r="518" spans="2:2" ht="15.75" customHeight="1" x14ac:dyDescent="0.2">
      <c r="B518" s="2"/>
    </row>
    <row r="519" spans="2:2" ht="15.75" customHeight="1" x14ac:dyDescent="0.2">
      <c r="B519" s="2"/>
    </row>
    <row r="520" spans="2:2" ht="15.75" customHeight="1" x14ac:dyDescent="0.2">
      <c r="B520" s="2"/>
    </row>
    <row r="521" spans="2:2" ht="15.75" customHeight="1" x14ac:dyDescent="0.2">
      <c r="B521" s="2"/>
    </row>
    <row r="522" spans="2:2" ht="15.75" customHeight="1" x14ac:dyDescent="0.2">
      <c r="B522" s="2"/>
    </row>
    <row r="523" spans="2:2" ht="15.75" customHeight="1" x14ac:dyDescent="0.2">
      <c r="B523" s="2"/>
    </row>
    <row r="524" spans="2:2" ht="15.75" customHeight="1" x14ac:dyDescent="0.2">
      <c r="B524" s="2"/>
    </row>
    <row r="525" spans="2:2" ht="15.75" customHeight="1" x14ac:dyDescent="0.2">
      <c r="B525" s="2"/>
    </row>
    <row r="526" spans="2:2" ht="15.75" customHeight="1" x14ac:dyDescent="0.2">
      <c r="B526" s="2"/>
    </row>
    <row r="527" spans="2:2" ht="15.75" customHeight="1" x14ac:dyDescent="0.2">
      <c r="B527" s="2"/>
    </row>
    <row r="528" spans="2:2" ht="15.75" customHeight="1" x14ac:dyDescent="0.2">
      <c r="B528" s="2"/>
    </row>
    <row r="529" spans="2:2" ht="15.75" customHeight="1" x14ac:dyDescent="0.2">
      <c r="B529" s="2"/>
    </row>
    <row r="530" spans="2:2" ht="15.75" customHeight="1" x14ac:dyDescent="0.2">
      <c r="B530" s="2"/>
    </row>
    <row r="531" spans="2:2" ht="15.75" customHeight="1" x14ac:dyDescent="0.2">
      <c r="B531" s="2"/>
    </row>
    <row r="532" spans="2:2" ht="15.75" customHeight="1" x14ac:dyDescent="0.2">
      <c r="B532" s="2"/>
    </row>
    <row r="533" spans="2:2" ht="15.75" customHeight="1" x14ac:dyDescent="0.2">
      <c r="B533" s="2"/>
    </row>
    <row r="534" spans="2:2" ht="15.75" customHeight="1" x14ac:dyDescent="0.2">
      <c r="B534" s="2"/>
    </row>
    <row r="535" spans="2:2" ht="15.75" customHeight="1" x14ac:dyDescent="0.2">
      <c r="B535" s="2"/>
    </row>
    <row r="536" spans="2:2" ht="15.75" customHeight="1" x14ac:dyDescent="0.2">
      <c r="B536" s="2"/>
    </row>
    <row r="537" spans="2:2" ht="15.75" customHeight="1" x14ac:dyDescent="0.2">
      <c r="B537" s="2"/>
    </row>
    <row r="538" spans="2:2" ht="15.75" customHeight="1" x14ac:dyDescent="0.2">
      <c r="B538" s="2"/>
    </row>
    <row r="539" spans="2:2" ht="15.75" customHeight="1" x14ac:dyDescent="0.2">
      <c r="B539" s="2"/>
    </row>
    <row r="540" spans="2:2" ht="15.75" customHeight="1" x14ac:dyDescent="0.2">
      <c r="B540" s="2"/>
    </row>
    <row r="541" spans="2:2" ht="15.75" customHeight="1" x14ac:dyDescent="0.2">
      <c r="B541" s="2"/>
    </row>
    <row r="542" spans="2:2" ht="15.75" customHeight="1" x14ac:dyDescent="0.2">
      <c r="B542" s="2"/>
    </row>
    <row r="543" spans="2:2" ht="15.75" customHeight="1" x14ac:dyDescent="0.2">
      <c r="B543" s="2"/>
    </row>
    <row r="544" spans="2:2" ht="15.75" customHeight="1" x14ac:dyDescent="0.2">
      <c r="B544" s="2"/>
    </row>
    <row r="545" spans="2:2" ht="15.75" customHeight="1" x14ac:dyDescent="0.2">
      <c r="B545" s="2"/>
    </row>
    <row r="546" spans="2:2" ht="15.75" customHeight="1" x14ac:dyDescent="0.2">
      <c r="B546" s="2"/>
    </row>
    <row r="547" spans="2:2" ht="15.75" customHeight="1" x14ac:dyDescent="0.2">
      <c r="B547" s="2"/>
    </row>
    <row r="548" spans="2:2" ht="15.75" customHeight="1" x14ac:dyDescent="0.2">
      <c r="B548" s="2"/>
    </row>
    <row r="549" spans="2:2" ht="15.75" customHeight="1" x14ac:dyDescent="0.2">
      <c r="B549" s="2"/>
    </row>
    <row r="550" spans="2:2" ht="15.75" customHeight="1" x14ac:dyDescent="0.2">
      <c r="B550" s="2"/>
    </row>
    <row r="551" spans="2:2" ht="15.75" customHeight="1" x14ac:dyDescent="0.2">
      <c r="B551" s="2"/>
    </row>
    <row r="552" spans="2:2" ht="15.75" customHeight="1" x14ac:dyDescent="0.2">
      <c r="B552" s="2"/>
    </row>
    <row r="553" spans="2:2" ht="15.75" customHeight="1" x14ac:dyDescent="0.2">
      <c r="B553" s="2"/>
    </row>
    <row r="554" spans="2:2" ht="15.75" customHeight="1" x14ac:dyDescent="0.2">
      <c r="B554" s="2"/>
    </row>
    <row r="555" spans="2:2" ht="15.75" customHeight="1" x14ac:dyDescent="0.2">
      <c r="B555" s="2"/>
    </row>
    <row r="556" spans="2:2" ht="15.75" customHeight="1" x14ac:dyDescent="0.2">
      <c r="B556" s="2"/>
    </row>
    <row r="557" spans="2:2" ht="15.75" customHeight="1" x14ac:dyDescent="0.2">
      <c r="B557" s="2"/>
    </row>
    <row r="558" spans="2:2" ht="15.75" customHeight="1" x14ac:dyDescent="0.2">
      <c r="B558" s="2"/>
    </row>
    <row r="559" spans="2:2" ht="15.75" customHeight="1" x14ac:dyDescent="0.2">
      <c r="B559" s="2"/>
    </row>
    <row r="560" spans="2:2" ht="15.75" customHeight="1" x14ac:dyDescent="0.2">
      <c r="B560" s="2"/>
    </row>
    <row r="561" spans="2:2" ht="15.75" customHeight="1" x14ac:dyDescent="0.2">
      <c r="B561" s="2"/>
    </row>
    <row r="562" spans="2:2" ht="15.75" customHeight="1" x14ac:dyDescent="0.2">
      <c r="B562" s="2"/>
    </row>
    <row r="563" spans="2:2" ht="15.75" customHeight="1" x14ac:dyDescent="0.2">
      <c r="B563" s="2"/>
    </row>
    <row r="564" spans="2:2" ht="15.75" customHeight="1" x14ac:dyDescent="0.2">
      <c r="B564" s="2"/>
    </row>
    <row r="565" spans="2:2" ht="15.75" customHeight="1" x14ac:dyDescent="0.2">
      <c r="B565" s="2"/>
    </row>
    <row r="566" spans="2:2" ht="15.75" customHeight="1" x14ac:dyDescent="0.2">
      <c r="B566" s="2"/>
    </row>
    <row r="567" spans="2:2" ht="15.75" customHeight="1" x14ac:dyDescent="0.2">
      <c r="B567" s="2"/>
    </row>
    <row r="568" spans="2:2" ht="15.75" customHeight="1" x14ac:dyDescent="0.2">
      <c r="B568" s="2"/>
    </row>
    <row r="569" spans="2:2" ht="15.75" customHeight="1" x14ac:dyDescent="0.2">
      <c r="B569" s="2"/>
    </row>
    <row r="570" spans="2:2" ht="15.75" customHeight="1" x14ac:dyDescent="0.2">
      <c r="B570" s="2"/>
    </row>
    <row r="571" spans="2:2" ht="15.75" customHeight="1" x14ac:dyDescent="0.2">
      <c r="B571" s="2"/>
    </row>
    <row r="572" spans="2:2" ht="15.75" customHeight="1" x14ac:dyDescent="0.2">
      <c r="B572" s="2"/>
    </row>
    <row r="573" spans="2:2" ht="15.75" customHeight="1" x14ac:dyDescent="0.2">
      <c r="B573" s="2"/>
    </row>
    <row r="574" spans="2:2" ht="15.75" customHeight="1" x14ac:dyDescent="0.2">
      <c r="B574" s="2"/>
    </row>
    <row r="575" spans="2:2" ht="15.75" customHeight="1" x14ac:dyDescent="0.2">
      <c r="B575" s="2"/>
    </row>
    <row r="576" spans="2:2" ht="15.75" customHeight="1" x14ac:dyDescent="0.2">
      <c r="B576" s="2"/>
    </row>
    <row r="577" spans="2:2" ht="15.75" customHeight="1" x14ac:dyDescent="0.2">
      <c r="B577" s="2"/>
    </row>
    <row r="578" spans="2:2" ht="15.75" customHeight="1" x14ac:dyDescent="0.2">
      <c r="B578" s="2"/>
    </row>
    <row r="579" spans="2:2" ht="15.75" customHeight="1" x14ac:dyDescent="0.2">
      <c r="B579" s="2"/>
    </row>
    <row r="580" spans="2:2" ht="15.75" customHeight="1" x14ac:dyDescent="0.2">
      <c r="B580" s="2"/>
    </row>
    <row r="581" spans="2:2" ht="15.75" customHeight="1" x14ac:dyDescent="0.2">
      <c r="B581" s="2"/>
    </row>
    <row r="582" spans="2:2" ht="15.75" customHeight="1" x14ac:dyDescent="0.2">
      <c r="B582" s="2"/>
    </row>
    <row r="583" spans="2:2" ht="15.75" customHeight="1" x14ac:dyDescent="0.2">
      <c r="B583" s="2"/>
    </row>
    <row r="584" spans="2:2" ht="15.75" customHeight="1" x14ac:dyDescent="0.2">
      <c r="B584" s="2"/>
    </row>
    <row r="585" spans="2:2" ht="15.75" customHeight="1" x14ac:dyDescent="0.2">
      <c r="B585" s="2"/>
    </row>
    <row r="586" spans="2:2" ht="15.75" customHeight="1" x14ac:dyDescent="0.2">
      <c r="B586" s="2"/>
    </row>
    <row r="587" spans="2:2" ht="15.75" customHeight="1" x14ac:dyDescent="0.2">
      <c r="B587" s="2"/>
    </row>
    <row r="588" spans="2:2" ht="15.75" customHeight="1" x14ac:dyDescent="0.2">
      <c r="B588" s="2"/>
    </row>
    <row r="589" spans="2:2" ht="15.75" customHeight="1" x14ac:dyDescent="0.2">
      <c r="B589" s="2"/>
    </row>
    <row r="590" spans="2:2" ht="15.75" customHeight="1" x14ac:dyDescent="0.2">
      <c r="B590" s="2"/>
    </row>
    <row r="591" spans="2:2" ht="15.75" customHeight="1" x14ac:dyDescent="0.2">
      <c r="B591" s="2"/>
    </row>
    <row r="592" spans="2:2" ht="15.75" customHeight="1" x14ac:dyDescent="0.2">
      <c r="B592" s="2"/>
    </row>
    <row r="593" spans="2:2" ht="15.75" customHeight="1" x14ac:dyDescent="0.2">
      <c r="B593" s="2"/>
    </row>
    <row r="594" spans="2:2" ht="15.75" customHeight="1" x14ac:dyDescent="0.2">
      <c r="B594" s="2"/>
    </row>
    <row r="595" spans="2:2" ht="15.75" customHeight="1" x14ac:dyDescent="0.2">
      <c r="B595" s="2"/>
    </row>
    <row r="596" spans="2:2" ht="15.75" customHeight="1" x14ac:dyDescent="0.2">
      <c r="B596" s="2"/>
    </row>
    <row r="597" spans="2:2" ht="15.75" customHeight="1" x14ac:dyDescent="0.2">
      <c r="B597" s="2"/>
    </row>
    <row r="598" spans="2:2" ht="15.75" customHeight="1" x14ac:dyDescent="0.2">
      <c r="B598" s="2"/>
    </row>
    <row r="599" spans="2:2" ht="15.75" customHeight="1" x14ac:dyDescent="0.2">
      <c r="B599" s="2"/>
    </row>
    <row r="600" spans="2:2" ht="15.75" customHeight="1" x14ac:dyDescent="0.2">
      <c r="B600" s="2"/>
    </row>
    <row r="601" spans="2:2" ht="15.75" customHeight="1" x14ac:dyDescent="0.2">
      <c r="B601" s="2"/>
    </row>
    <row r="602" spans="2:2" ht="15.75" customHeight="1" x14ac:dyDescent="0.2">
      <c r="B602" s="2"/>
    </row>
    <row r="603" spans="2:2" ht="15.75" customHeight="1" x14ac:dyDescent="0.2">
      <c r="B603" s="2"/>
    </row>
    <row r="604" spans="2:2" ht="15.75" customHeight="1" x14ac:dyDescent="0.2">
      <c r="B604" s="2"/>
    </row>
    <row r="605" spans="2:2" ht="15.75" customHeight="1" x14ac:dyDescent="0.2">
      <c r="B605" s="2"/>
    </row>
    <row r="606" spans="2:2" ht="15.75" customHeight="1" x14ac:dyDescent="0.2">
      <c r="B606" s="2"/>
    </row>
    <row r="607" spans="2:2" ht="15.75" customHeight="1" x14ac:dyDescent="0.2">
      <c r="B607" s="2"/>
    </row>
    <row r="608" spans="2:2" ht="15.75" customHeight="1" x14ac:dyDescent="0.2">
      <c r="B608" s="2"/>
    </row>
    <row r="609" spans="2:2" ht="15.75" customHeight="1" x14ac:dyDescent="0.2">
      <c r="B609" s="2"/>
    </row>
    <row r="610" spans="2:2" ht="15.75" customHeight="1" x14ac:dyDescent="0.2">
      <c r="B610" s="2"/>
    </row>
    <row r="611" spans="2:2" ht="15.75" customHeight="1" x14ac:dyDescent="0.2">
      <c r="B611" s="2"/>
    </row>
    <row r="612" spans="2:2" ht="15.75" customHeight="1" x14ac:dyDescent="0.2">
      <c r="B612" s="2"/>
    </row>
    <row r="613" spans="2:2" ht="15.75" customHeight="1" x14ac:dyDescent="0.2">
      <c r="B613" s="2"/>
    </row>
    <row r="614" spans="2:2" ht="15.75" customHeight="1" x14ac:dyDescent="0.2">
      <c r="B614" s="2"/>
    </row>
    <row r="615" spans="2:2" ht="15.75" customHeight="1" x14ac:dyDescent="0.2">
      <c r="B615" s="2"/>
    </row>
    <row r="616" spans="2:2" ht="15.75" customHeight="1" x14ac:dyDescent="0.2">
      <c r="B616" s="2"/>
    </row>
    <row r="617" spans="2:2" ht="15.75" customHeight="1" x14ac:dyDescent="0.2">
      <c r="B617" s="2"/>
    </row>
    <row r="618" spans="2:2" ht="15.75" customHeight="1" x14ac:dyDescent="0.2">
      <c r="B618" s="2"/>
    </row>
    <row r="619" spans="2:2" ht="15.75" customHeight="1" x14ac:dyDescent="0.2">
      <c r="B619" s="2"/>
    </row>
    <row r="620" spans="2:2" ht="15.75" customHeight="1" x14ac:dyDescent="0.2">
      <c r="B620" s="2"/>
    </row>
    <row r="621" spans="2:2" ht="15.75" customHeight="1" x14ac:dyDescent="0.2">
      <c r="B621" s="2"/>
    </row>
    <row r="622" spans="2:2" ht="15.75" customHeight="1" x14ac:dyDescent="0.2">
      <c r="B622" s="2"/>
    </row>
    <row r="623" spans="2:2" ht="15.75" customHeight="1" x14ac:dyDescent="0.2">
      <c r="B623" s="2"/>
    </row>
    <row r="624" spans="2:2" ht="15.75" customHeight="1" x14ac:dyDescent="0.2">
      <c r="B624" s="2"/>
    </row>
    <row r="625" spans="2:2" ht="15.75" customHeight="1" x14ac:dyDescent="0.2">
      <c r="B625" s="2"/>
    </row>
    <row r="626" spans="2:2" ht="15.75" customHeight="1" x14ac:dyDescent="0.2">
      <c r="B626" s="2"/>
    </row>
    <row r="627" spans="2:2" ht="15.75" customHeight="1" x14ac:dyDescent="0.2">
      <c r="B627" s="2"/>
    </row>
    <row r="628" spans="2:2" ht="15.75" customHeight="1" x14ac:dyDescent="0.2">
      <c r="B628" s="2"/>
    </row>
    <row r="629" spans="2:2" ht="15.75" customHeight="1" x14ac:dyDescent="0.2">
      <c r="B629" s="2"/>
    </row>
    <row r="630" spans="2:2" ht="15.75" customHeight="1" x14ac:dyDescent="0.2">
      <c r="B630" s="2"/>
    </row>
    <row r="631" spans="2:2" ht="15.75" customHeight="1" x14ac:dyDescent="0.2">
      <c r="B631" s="2"/>
    </row>
    <row r="632" spans="2:2" ht="15.75" customHeight="1" x14ac:dyDescent="0.2">
      <c r="B632" s="2"/>
    </row>
    <row r="633" spans="2:2" ht="15.75" customHeight="1" x14ac:dyDescent="0.2">
      <c r="B633" s="2"/>
    </row>
    <row r="634" spans="2:2" ht="15.75" customHeight="1" x14ac:dyDescent="0.2">
      <c r="B634" s="2"/>
    </row>
    <row r="635" spans="2:2" ht="15.75" customHeight="1" x14ac:dyDescent="0.2">
      <c r="B635" s="2"/>
    </row>
    <row r="636" spans="2:2" ht="15.75" customHeight="1" x14ac:dyDescent="0.2">
      <c r="B636" s="2"/>
    </row>
    <row r="637" spans="2:2" ht="15.75" customHeight="1" x14ac:dyDescent="0.2">
      <c r="B637" s="2"/>
    </row>
    <row r="638" spans="2:2" ht="15.75" customHeight="1" x14ac:dyDescent="0.2">
      <c r="B638" s="2"/>
    </row>
    <row r="639" spans="2:2" ht="15.75" customHeight="1" x14ac:dyDescent="0.2">
      <c r="B639" s="2"/>
    </row>
    <row r="640" spans="2:2" ht="15.75" customHeight="1" x14ac:dyDescent="0.2">
      <c r="B640" s="2"/>
    </row>
    <row r="641" spans="2:2" ht="15.75" customHeight="1" x14ac:dyDescent="0.2">
      <c r="B641" s="2"/>
    </row>
    <row r="642" spans="2:2" ht="15.75" customHeight="1" x14ac:dyDescent="0.2">
      <c r="B642" s="2"/>
    </row>
    <row r="643" spans="2:2" ht="15.75" customHeight="1" x14ac:dyDescent="0.2">
      <c r="B643" s="2"/>
    </row>
    <row r="644" spans="2:2" ht="15.75" customHeight="1" x14ac:dyDescent="0.2">
      <c r="B644" s="2"/>
    </row>
    <row r="645" spans="2:2" ht="15.75" customHeight="1" x14ac:dyDescent="0.2">
      <c r="B645" s="2"/>
    </row>
    <row r="646" spans="2:2" ht="15.75" customHeight="1" x14ac:dyDescent="0.2">
      <c r="B646" s="2"/>
    </row>
    <row r="647" spans="2:2" ht="15.75" customHeight="1" x14ac:dyDescent="0.2">
      <c r="B647" s="2"/>
    </row>
    <row r="648" spans="2:2" ht="15.75" customHeight="1" x14ac:dyDescent="0.2">
      <c r="B648" s="2"/>
    </row>
    <row r="649" spans="2:2" ht="15.75" customHeight="1" x14ac:dyDescent="0.2">
      <c r="B649" s="2"/>
    </row>
    <row r="650" spans="2:2" ht="15.75" customHeight="1" x14ac:dyDescent="0.2">
      <c r="B650" s="2"/>
    </row>
    <row r="651" spans="2:2" ht="15.75" customHeight="1" x14ac:dyDescent="0.2">
      <c r="B651" s="2"/>
    </row>
    <row r="652" spans="2:2" ht="15.75" customHeight="1" x14ac:dyDescent="0.2">
      <c r="B652" s="2"/>
    </row>
    <row r="653" spans="2:2" ht="15.75" customHeight="1" x14ac:dyDescent="0.2">
      <c r="B653" s="2"/>
    </row>
    <row r="654" spans="2:2" ht="15.75" customHeight="1" x14ac:dyDescent="0.2">
      <c r="B654" s="2"/>
    </row>
    <row r="655" spans="2:2" ht="15.75" customHeight="1" x14ac:dyDescent="0.2">
      <c r="B655" s="2"/>
    </row>
    <row r="656" spans="2:2" ht="15.75" customHeight="1" x14ac:dyDescent="0.2">
      <c r="B656" s="2"/>
    </row>
    <row r="657" spans="2:2" ht="15.75" customHeight="1" x14ac:dyDescent="0.2">
      <c r="B657" s="2"/>
    </row>
    <row r="658" spans="2:2" ht="15.75" customHeight="1" x14ac:dyDescent="0.2">
      <c r="B658" s="2"/>
    </row>
    <row r="659" spans="2:2" ht="15.75" customHeight="1" x14ac:dyDescent="0.2">
      <c r="B659" s="2"/>
    </row>
    <row r="660" spans="2:2" ht="15.75" customHeight="1" x14ac:dyDescent="0.2">
      <c r="B660" s="2"/>
    </row>
    <row r="661" spans="2:2" ht="15.75" customHeight="1" x14ac:dyDescent="0.2">
      <c r="B661" s="2"/>
    </row>
    <row r="662" spans="2:2" ht="15.75" customHeight="1" x14ac:dyDescent="0.2">
      <c r="B662" s="2"/>
    </row>
    <row r="663" spans="2:2" ht="15.75" customHeight="1" x14ac:dyDescent="0.2">
      <c r="B663" s="2"/>
    </row>
    <row r="664" spans="2:2" ht="15.75" customHeight="1" x14ac:dyDescent="0.2">
      <c r="B664" s="2"/>
    </row>
    <row r="665" spans="2:2" ht="15.75" customHeight="1" x14ac:dyDescent="0.2">
      <c r="B665" s="2"/>
    </row>
    <row r="666" spans="2:2" ht="15.75" customHeight="1" x14ac:dyDescent="0.2">
      <c r="B666" s="2"/>
    </row>
    <row r="667" spans="2:2" ht="15.75" customHeight="1" x14ac:dyDescent="0.2">
      <c r="B667" s="2"/>
    </row>
    <row r="668" spans="2:2" ht="15.75" customHeight="1" x14ac:dyDescent="0.2">
      <c r="B668" s="2"/>
    </row>
    <row r="669" spans="2:2" ht="15.75" customHeight="1" x14ac:dyDescent="0.2">
      <c r="B669" s="2"/>
    </row>
    <row r="670" spans="2:2" ht="15.75" customHeight="1" x14ac:dyDescent="0.2">
      <c r="B670" s="2"/>
    </row>
    <row r="671" spans="2:2" ht="15.75" customHeight="1" x14ac:dyDescent="0.2">
      <c r="B671" s="2"/>
    </row>
    <row r="672" spans="2:2" ht="15.75" customHeight="1" x14ac:dyDescent="0.2">
      <c r="B672" s="2"/>
    </row>
    <row r="673" spans="2:2" ht="15.75" customHeight="1" x14ac:dyDescent="0.2">
      <c r="B673" s="2"/>
    </row>
    <row r="674" spans="2:2" ht="15.75" customHeight="1" x14ac:dyDescent="0.2">
      <c r="B674" s="2"/>
    </row>
    <row r="675" spans="2:2" ht="15.75" customHeight="1" x14ac:dyDescent="0.2">
      <c r="B675" s="2"/>
    </row>
    <row r="676" spans="2:2" ht="15.75" customHeight="1" x14ac:dyDescent="0.2">
      <c r="B676" s="2"/>
    </row>
    <row r="677" spans="2:2" ht="15.75" customHeight="1" x14ac:dyDescent="0.2">
      <c r="B677" s="2"/>
    </row>
    <row r="678" spans="2:2" ht="15.75" customHeight="1" x14ac:dyDescent="0.2">
      <c r="B678" s="2"/>
    </row>
    <row r="679" spans="2:2" ht="15.75" customHeight="1" x14ac:dyDescent="0.2">
      <c r="B679" s="2"/>
    </row>
    <row r="680" spans="2:2" ht="15.75" customHeight="1" x14ac:dyDescent="0.2">
      <c r="B680" s="2"/>
    </row>
    <row r="681" spans="2:2" ht="15.75" customHeight="1" x14ac:dyDescent="0.2">
      <c r="B681" s="2"/>
    </row>
    <row r="682" spans="2:2" ht="15.75" customHeight="1" x14ac:dyDescent="0.2">
      <c r="B682" s="2"/>
    </row>
    <row r="683" spans="2:2" ht="15.75" customHeight="1" x14ac:dyDescent="0.2">
      <c r="B683" s="2"/>
    </row>
    <row r="684" spans="2:2" ht="15.75" customHeight="1" x14ac:dyDescent="0.2">
      <c r="B684" s="2"/>
    </row>
    <row r="685" spans="2:2" ht="15.75" customHeight="1" x14ac:dyDescent="0.2">
      <c r="B685" s="2"/>
    </row>
    <row r="686" spans="2:2" ht="15.75" customHeight="1" x14ac:dyDescent="0.2">
      <c r="B686" s="2"/>
    </row>
    <row r="687" spans="2:2" ht="15.75" customHeight="1" x14ac:dyDescent="0.2">
      <c r="B687" s="2"/>
    </row>
    <row r="688" spans="2:2" ht="15.75" customHeight="1" x14ac:dyDescent="0.2">
      <c r="B688" s="2"/>
    </row>
    <row r="689" spans="2:2" ht="15.75" customHeight="1" x14ac:dyDescent="0.2">
      <c r="B689" s="2"/>
    </row>
    <row r="690" spans="2:2" ht="15.75" customHeight="1" x14ac:dyDescent="0.2">
      <c r="B690" s="2"/>
    </row>
    <row r="691" spans="2:2" ht="15.75" customHeight="1" x14ac:dyDescent="0.2">
      <c r="B691" s="2"/>
    </row>
    <row r="692" spans="2:2" ht="15.75" customHeight="1" x14ac:dyDescent="0.2">
      <c r="B692" s="2"/>
    </row>
    <row r="693" spans="2:2" ht="15.75" customHeight="1" x14ac:dyDescent="0.2">
      <c r="B693" s="2"/>
    </row>
    <row r="694" spans="2:2" ht="15.75" customHeight="1" x14ac:dyDescent="0.2">
      <c r="B694" s="2"/>
    </row>
    <row r="695" spans="2:2" ht="15.75" customHeight="1" x14ac:dyDescent="0.2">
      <c r="B695" s="2"/>
    </row>
    <row r="696" spans="2:2" ht="15.75" customHeight="1" x14ac:dyDescent="0.2">
      <c r="B696" s="2"/>
    </row>
    <row r="697" spans="2:2" ht="15.75" customHeight="1" x14ac:dyDescent="0.2">
      <c r="B697" s="2"/>
    </row>
    <row r="698" spans="2:2" ht="15.75" customHeight="1" x14ac:dyDescent="0.2">
      <c r="B698" s="2"/>
    </row>
    <row r="699" spans="2:2" ht="15.75" customHeight="1" x14ac:dyDescent="0.2">
      <c r="B699" s="2"/>
    </row>
    <row r="700" spans="2:2" ht="15.75" customHeight="1" x14ac:dyDescent="0.2">
      <c r="B700" s="2"/>
    </row>
    <row r="701" spans="2:2" ht="15.75" customHeight="1" x14ac:dyDescent="0.2">
      <c r="B701" s="2"/>
    </row>
    <row r="702" spans="2:2" ht="15.75" customHeight="1" x14ac:dyDescent="0.2">
      <c r="B702" s="2"/>
    </row>
    <row r="703" spans="2:2" ht="15.75" customHeight="1" x14ac:dyDescent="0.2">
      <c r="B703" s="2"/>
    </row>
    <row r="704" spans="2:2" ht="15.75" customHeight="1" x14ac:dyDescent="0.2">
      <c r="B704" s="2"/>
    </row>
    <row r="705" spans="2:2" ht="15.75" customHeight="1" x14ac:dyDescent="0.2">
      <c r="B705" s="2"/>
    </row>
    <row r="706" spans="2:2" ht="15.75" customHeight="1" x14ac:dyDescent="0.2">
      <c r="B706" s="2"/>
    </row>
    <row r="707" spans="2:2" ht="15.75" customHeight="1" x14ac:dyDescent="0.2">
      <c r="B707" s="2"/>
    </row>
    <row r="708" spans="2:2" ht="15.75" customHeight="1" x14ac:dyDescent="0.2">
      <c r="B708" s="2"/>
    </row>
    <row r="709" spans="2:2" ht="15.75" customHeight="1" x14ac:dyDescent="0.2">
      <c r="B709" s="2"/>
    </row>
    <row r="710" spans="2:2" ht="15.75" customHeight="1" x14ac:dyDescent="0.2">
      <c r="B710" s="2"/>
    </row>
    <row r="711" spans="2:2" ht="15.75" customHeight="1" x14ac:dyDescent="0.2">
      <c r="B711" s="2"/>
    </row>
    <row r="712" spans="2:2" ht="15.75" customHeight="1" x14ac:dyDescent="0.2">
      <c r="B712" s="2"/>
    </row>
    <row r="713" spans="2:2" ht="15.75" customHeight="1" x14ac:dyDescent="0.2">
      <c r="B713" s="2"/>
    </row>
    <row r="714" spans="2:2" ht="15.75" customHeight="1" x14ac:dyDescent="0.2">
      <c r="B714" s="2"/>
    </row>
    <row r="715" spans="2:2" ht="15.75" customHeight="1" x14ac:dyDescent="0.2">
      <c r="B715" s="2"/>
    </row>
    <row r="716" spans="2:2" ht="15.75" customHeight="1" x14ac:dyDescent="0.2">
      <c r="B716" s="2"/>
    </row>
    <row r="717" spans="2:2" ht="15.75" customHeight="1" x14ac:dyDescent="0.2">
      <c r="B717" s="2"/>
    </row>
    <row r="718" spans="2:2" ht="15.75" customHeight="1" x14ac:dyDescent="0.2">
      <c r="B718" s="2"/>
    </row>
    <row r="719" spans="2:2" ht="15.75" customHeight="1" x14ac:dyDescent="0.2">
      <c r="B719" s="2"/>
    </row>
    <row r="720" spans="2:2" ht="15.75" customHeight="1" x14ac:dyDescent="0.2">
      <c r="B720" s="2"/>
    </row>
    <row r="721" spans="2:2" ht="15.75" customHeight="1" x14ac:dyDescent="0.2">
      <c r="B721" s="2"/>
    </row>
    <row r="722" spans="2:2" ht="15.75" customHeight="1" x14ac:dyDescent="0.2">
      <c r="B722" s="2"/>
    </row>
    <row r="723" spans="2:2" ht="15.75" customHeight="1" x14ac:dyDescent="0.2">
      <c r="B723" s="2"/>
    </row>
    <row r="724" spans="2:2" ht="15.75" customHeight="1" x14ac:dyDescent="0.2">
      <c r="B724" s="2"/>
    </row>
    <row r="725" spans="2:2" ht="15.75" customHeight="1" x14ac:dyDescent="0.2">
      <c r="B725" s="2"/>
    </row>
    <row r="726" spans="2:2" ht="15.75" customHeight="1" x14ac:dyDescent="0.2">
      <c r="B726" s="2"/>
    </row>
    <row r="727" spans="2:2" ht="15.75" customHeight="1" x14ac:dyDescent="0.2">
      <c r="B727" s="2"/>
    </row>
    <row r="728" spans="2:2" ht="15.75" customHeight="1" x14ac:dyDescent="0.2">
      <c r="B728" s="2"/>
    </row>
    <row r="729" spans="2:2" ht="15.75" customHeight="1" x14ac:dyDescent="0.2">
      <c r="B729" s="2"/>
    </row>
    <row r="730" spans="2:2" ht="15.75" customHeight="1" x14ac:dyDescent="0.2">
      <c r="B730" s="2"/>
    </row>
    <row r="731" spans="2:2" ht="15.75" customHeight="1" x14ac:dyDescent="0.2">
      <c r="B731" s="2"/>
    </row>
    <row r="732" spans="2:2" ht="15.75" customHeight="1" x14ac:dyDescent="0.2">
      <c r="B732" s="2"/>
    </row>
    <row r="733" spans="2:2" ht="15.75" customHeight="1" x14ac:dyDescent="0.2">
      <c r="B733" s="2"/>
    </row>
    <row r="734" spans="2:2" ht="15.75" customHeight="1" x14ac:dyDescent="0.2">
      <c r="B734" s="2"/>
    </row>
    <row r="735" spans="2:2" ht="15.75" customHeight="1" x14ac:dyDescent="0.2">
      <c r="B735" s="2"/>
    </row>
    <row r="736" spans="2:2" ht="15.75" customHeight="1" x14ac:dyDescent="0.2">
      <c r="B736" s="2"/>
    </row>
    <row r="737" spans="2:2" ht="15.75" customHeight="1" x14ac:dyDescent="0.2">
      <c r="B737" s="2"/>
    </row>
    <row r="738" spans="2:2" ht="15.75" customHeight="1" x14ac:dyDescent="0.2">
      <c r="B738" s="2"/>
    </row>
    <row r="739" spans="2:2" ht="15.75" customHeight="1" x14ac:dyDescent="0.2">
      <c r="B739" s="2"/>
    </row>
    <row r="740" spans="2:2" ht="15.75" customHeight="1" x14ac:dyDescent="0.2">
      <c r="B740" s="2"/>
    </row>
    <row r="741" spans="2:2" ht="15.75" customHeight="1" x14ac:dyDescent="0.2">
      <c r="B741" s="2"/>
    </row>
    <row r="742" spans="2:2" ht="15.75" customHeight="1" x14ac:dyDescent="0.2">
      <c r="B742" s="2"/>
    </row>
    <row r="743" spans="2:2" ht="15.75" customHeight="1" x14ac:dyDescent="0.2">
      <c r="B743" s="2"/>
    </row>
    <row r="744" spans="2:2" ht="15.75" customHeight="1" x14ac:dyDescent="0.2">
      <c r="B744" s="2"/>
    </row>
    <row r="745" spans="2:2" ht="15.75" customHeight="1" x14ac:dyDescent="0.2">
      <c r="B745" s="2"/>
    </row>
    <row r="746" spans="2:2" ht="15.75" customHeight="1" x14ac:dyDescent="0.2">
      <c r="B746" s="2"/>
    </row>
    <row r="747" spans="2:2" ht="15.75" customHeight="1" x14ac:dyDescent="0.2">
      <c r="B747" s="2"/>
    </row>
    <row r="748" spans="2:2" ht="15.75" customHeight="1" x14ac:dyDescent="0.2">
      <c r="B748" s="2"/>
    </row>
    <row r="749" spans="2:2" ht="15.75" customHeight="1" x14ac:dyDescent="0.2">
      <c r="B749" s="2"/>
    </row>
    <row r="750" spans="2:2" ht="15.75" customHeight="1" x14ac:dyDescent="0.2">
      <c r="B750" s="2"/>
    </row>
    <row r="751" spans="2:2" ht="15.75" customHeight="1" x14ac:dyDescent="0.2">
      <c r="B751" s="2"/>
    </row>
    <row r="752" spans="2:2" ht="15.75" customHeight="1" x14ac:dyDescent="0.2">
      <c r="B752" s="2"/>
    </row>
    <row r="753" spans="2:2" ht="15.75" customHeight="1" x14ac:dyDescent="0.2">
      <c r="B753" s="2"/>
    </row>
    <row r="754" spans="2:2" ht="15.75" customHeight="1" x14ac:dyDescent="0.2">
      <c r="B754" s="2"/>
    </row>
    <row r="755" spans="2:2" ht="15.75" customHeight="1" x14ac:dyDescent="0.2">
      <c r="B755" s="2"/>
    </row>
    <row r="756" spans="2:2" ht="15.75" customHeight="1" x14ac:dyDescent="0.2">
      <c r="B756" s="2"/>
    </row>
    <row r="757" spans="2:2" ht="15.75" customHeight="1" x14ac:dyDescent="0.2">
      <c r="B757" s="2"/>
    </row>
    <row r="758" spans="2:2" ht="15.75" customHeight="1" x14ac:dyDescent="0.2">
      <c r="B758" s="2"/>
    </row>
    <row r="759" spans="2:2" ht="15.75" customHeight="1" x14ac:dyDescent="0.2">
      <c r="B759" s="2"/>
    </row>
    <row r="760" spans="2:2" ht="15.75" customHeight="1" x14ac:dyDescent="0.2">
      <c r="B760" s="2"/>
    </row>
    <row r="761" spans="2:2" ht="15.75" customHeight="1" x14ac:dyDescent="0.2">
      <c r="B761" s="2"/>
    </row>
    <row r="762" spans="2:2" ht="15.75" customHeight="1" x14ac:dyDescent="0.2">
      <c r="B762" s="2"/>
    </row>
    <row r="763" spans="2:2" ht="15.75" customHeight="1" x14ac:dyDescent="0.2">
      <c r="B763" s="2"/>
    </row>
    <row r="764" spans="2:2" ht="15.75" customHeight="1" x14ac:dyDescent="0.2">
      <c r="B764" s="2"/>
    </row>
    <row r="765" spans="2:2" ht="15.75" customHeight="1" x14ac:dyDescent="0.2">
      <c r="B765" s="2"/>
    </row>
    <row r="766" spans="2:2" ht="15.75" customHeight="1" x14ac:dyDescent="0.2">
      <c r="B766" s="2"/>
    </row>
    <row r="767" spans="2:2" ht="15.75" customHeight="1" x14ac:dyDescent="0.2">
      <c r="B767" s="2"/>
    </row>
    <row r="768" spans="2:2" ht="15.75" customHeight="1" x14ac:dyDescent="0.2">
      <c r="B768" s="2"/>
    </row>
    <row r="769" spans="2:2" ht="15.75" customHeight="1" x14ac:dyDescent="0.2">
      <c r="B769" s="2"/>
    </row>
    <row r="770" spans="2:2" ht="15.75" customHeight="1" x14ac:dyDescent="0.2">
      <c r="B770" s="2"/>
    </row>
    <row r="771" spans="2:2" ht="15.75" customHeight="1" x14ac:dyDescent="0.2">
      <c r="B771" s="2"/>
    </row>
    <row r="772" spans="2:2" ht="15.75" customHeight="1" x14ac:dyDescent="0.2">
      <c r="B772" s="2"/>
    </row>
    <row r="773" spans="2:2" ht="15.75" customHeight="1" x14ac:dyDescent="0.2">
      <c r="B773" s="2"/>
    </row>
    <row r="774" spans="2:2" ht="15.75" customHeight="1" x14ac:dyDescent="0.2">
      <c r="B774" s="2"/>
    </row>
    <row r="775" spans="2:2" ht="15.75" customHeight="1" x14ac:dyDescent="0.2">
      <c r="B775" s="2"/>
    </row>
    <row r="776" spans="2:2" ht="15.75" customHeight="1" x14ac:dyDescent="0.2">
      <c r="B776" s="2"/>
    </row>
    <row r="777" spans="2:2" ht="15.75" customHeight="1" x14ac:dyDescent="0.2">
      <c r="B777" s="2"/>
    </row>
    <row r="778" spans="2:2" ht="15.75" customHeight="1" x14ac:dyDescent="0.2">
      <c r="B778" s="2"/>
    </row>
    <row r="779" spans="2:2" ht="15.75" customHeight="1" x14ac:dyDescent="0.2">
      <c r="B779" s="2"/>
    </row>
    <row r="780" spans="2:2" ht="15.75" customHeight="1" x14ac:dyDescent="0.2">
      <c r="B780" s="2"/>
    </row>
    <row r="781" spans="2:2" ht="15.75" customHeight="1" x14ac:dyDescent="0.2">
      <c r="B781" s="2"/>
    </row>
    <row r="782" spans="2:2" ht="15.75" customHeight="1" x14ac:dyDescent="0.2">
      <c r="B782" s="2"/>
    </row>
    <row r="783" spans="2:2" ht="15.75" customHeight="1" x14ac:dyDescent="0.2">
      <c r="B783" s="2"/>
    </row>
    <row r="784" spans="2:2" ht="15.75" customHeight="1" x14ac:dyDescent="0.2">
      <c r="B784" s="2"/>
    </row>
    <row r="785" spans="2:2" ht="15.75" customHeight="1" x14ac:dyDescent="0.2">
      <c r="B785" s="2"/>
    </row>
    <row r="786" spans="2:2" ht="15.75" customHeight="1" x14ac:dyDescent="0.2">
      <c r="B786" s="2"/>
    </row>
    <row r="787" spans="2:2" ht="15.75" customHeight="1" x14ac:dyDescent="0.2">
      <c r="B787" s="2"/>
    </row>
    <row r="788" spans="2:2" ht="15.75" customHeight="1" x14ac:dyDescent="0.2">
      <c r="B788" s="2"/>
    </row>
    <row r="789" spans="2:2" ht="15.75" customHeight="1" x14ac:dyDescent="0.2">
      <c r="B789" s="2"/>
    </row>
    <row r="790" spans="2:2" ht="15.75" customHeight="1" x14ac:dyDescent="0.2">
      <c r="B790" s="2"/>
    </row>
    <row r="791" spans="2:2" ht="15.75" customHeight="1" x14ac:dyDescent="0.2">
      <c r="B791" s="2"/>
    </row>
    <row r="792" spans="2:2" ht="15.75" customHeight="1" x14ac:dyDescent="0.2">
      <c r="B792" s="2"/>
    </row>
    <row r="793" spans="2:2" ht="15.75" customHeight="1" x14ac:dyDescent="0.2">
      <c r="B793" s="2"/>
    </row>
    <row r="794" spans="2:2" ht="15.75" customHeight="1" x14ac:dyDescent="0.2">
      <c r="B794" s="2"/>
    </row>
    <row r="795" spans="2:2" ht="15.75" customHeight="1" x14ac:dyDescent="0.2">
      <c r="B795" s="2"/>
    </row>
    <row r="796" spans="2:2" ht="15.75" customHeight="1" x14ac:dyDescent="0.2">
      <c r="B796" s="2"/>
    </row>
    <row r="797" spans="2:2" ht="15.75" customHeight="1" x14ac:dyDescent="0.2">
      <c r="B797" s="2"/>
    </row>
    <row r="798" spans="2:2" ht="15.75" customHeight="1" x14ac:dyDescent="0.2">
      <c r="B798" s="2"/>
    </row>
    <row r="799" spans="2:2" ht="15.75" customHeight="1" x14ac:dyDescent="0.2">
      <c r="B799" s="2"/>
    </row>
    <row r="800" spans="2:2" ht="15.75" customHeight="1" x14ac:dyDescent="0.2">
      <c r="B800" s="2"/>
    </row>
    <row r="801" spans="2:2" ht="15.75" customHeight="1" x14ac:dyDescent="0.2">
      <c r="B801" s="2"/>
    </row>
    <row r="802" spans="2:2" ht="15.75" customHeight="1" x14ac:dyDescent="0.2">
      <c r="B802" s="2"/>
    </row>
    <row r="803" spans="2:2" ht="15.75" customHeight="1" x14ac:dyDescent="0.2">
      <c r="B803" s="2"/>
    </row>
    <row r="804" spans="2:2" ht="15.75" customHeight="1" x14ac:dyDescent="0.2">
      <c r="B804" s="2"/>
    </row>
    <row r="805" spans="2:2" ht="15.75" customHeight="1" x14ac:dyDescent="0.2">
      <c r="B805" s="2"/>
    </row>
    <row r="806" spans="2:2" ht="15.75" customHeight="1" x14ac:dyDescent="0.2">
      <c r="B806" s="2"/>
    </row>
    <row r="807" spans="2:2" ht="15.75" customHeight="1" x14ac:dyDescent="0.2">
      <c r="B807" s="2"/>
    </row>
    <row r="808" spans="2:2" ht="15.75" customHeight="1" x14ac:dyDescent="0.2">
      <c r="B808" s="2"/>
    </row>
    <row r="809" spans="2:2" ht="15.75" customHeight="1" x14ac:dyDescent="0.2">
      <c r="B809" s="2"/>
    </row>
    <row r="810" spans="2:2" ht="15.75" customHeight="1" x14ac:dyDescent="0.2">
      <c r="B810" s="2"/>
    </row>
    <row r="811" spans="2:2" ht="15.75" customHeight="1" x14ac:dyDescent="0.2">
      <c r="B811" s="2"/>
    </row>
    <row r="812" spans="2:2" ht="15.75" customHeight="1" x14ac:dyDescent="0.2">
      <c r="B812" s="2"/>
    </row>
    <row r="813" spans="2:2" ht="15.75" customHeight="1" x14ac:dyDescent="0.2">
      <c r="B813" s="2"/>
    </row>
    <row r="814" spans="2:2" ht="15.75" customHeight="1" x14ac:dyDescent="0.2">
      <c r="B814" s="2"/>
    </row>
    <row r="815" spans="2:2" ht="15.75" customHeight="1" x14ac:dyDescent="0.2">
      <c r="B815" s="2"/>
    </row>
    <row r="816" spans="2:2" ht="15.75" customHeight="1" x14ac:dyDescent="0.2">
      <c r="B816" s="2"/>
    </row>
    <row r="817" spans="2:2" ht="15.75" customHeight="1" x14ac:dyDescent="0.2">
      <c r="B817" s="2"/>
    </row>
    <row r="818" spans="2:2" ht="15.75" customHeight="1" x14ac:dyDescent="0.2">
      <c r="B818" s="2"/>
    </row>
    <row r="819" spans="2:2" ht="15.75" customHeight="1" x14ac:dyDescent="0.2">
      <c r="B819" s="2"/>
    </row>
    <row r="820" spans="2:2" ht="15.75" customHeight="1" x14ac:dyDescent="0.2">
      <c r="B820" s="2"/>
    </row>
    <row r="821" spans="2:2" ht="15.75" customHeight="1" x14ac:dyDescent="0.2">
      <c r="B821" s="2"/>
    </row>
    <row r="822" spans="2:2" ht="15.75" customHeight="1" x14ac:dyDescent="0.2">
      <c r="B822" s="2"/>
    </row>
    <row r="823" spans="2:2" ht="15.75" customHeight="1" x14ac:dyDescent="0.2">
      <c r="B823" s="2"/>
    </row>
    <row r="824" spans="2:2" ht="15.75" customHeight="1" x14ac:dyDescent="0.2">
      <c r="B824" s="2"/>
    </row>
    <row r="825" spans="2:2" ht="15.75" customHeight="1" x14ac:dyDescent="0.2">
      <c r="B825" s="2"/>
    </row>
    <row r="826" spans="2:2" ht="15.75" customHeight="1" x14ac:dyDescent="0.2">
      <c r="B826" s="2"/>
    </row>
    <row r="827" spans="2:2" ht="15.75" customHeight="1" x14ac:dyDescent="0.2">
      <c r="B827" s="2"/>
    </row>
    <row r="828" spans="2:2" ht="15.75" customHeight="1" x14ac:dyDescent="0.2">
      <c r="B828" s="2"/>
    </row>
    <row r="829" spans="2:2" ht="15.75" customHeight="1" x14ac:dyDescent="0.2">
      <c r="B829" s="2"/>
    </row>
    <row r="830" spans="2:2" ht="15.75" customHeight="1" x14ac:dyDescent="0.2">
      <c r="B830" s="2"/>
    </row>
    <row r="831" spans="2:2" ht="15.75" customHeight="1" x14ac:dyDescent="0.2">
      <c r="B831" s="2"/>
    </row>
    <row r="832" spans="2:2" ht="15.75" customHeight="1" x14ac:dyDescent="0.2">
      <c r="B832" s="2"/>
    </row>
    <row r="833" spans="2:2" ht="15.75" customHeight="1" x14ac:dyDescent="0.2">
      <c r="B833" s="2"/>
    </row>
    <row r="834" spans="2:2" ht="15.75" customHeight="1" x14ac:dyDescent="0.2">
      <c r="B834" s="2"/>
    </row>
    <row r="835" spans="2:2" ht="15.75" customHeight="1" x14ac:dyDescent="0.2">
      <c r="B835" s="2"/>
    </row>
    <row r="836" spans="2:2" ht="15.75" customHeight="1" x14ac:dyDescent="0.2">
      <c r="B836" s="2"/>
    </row>
    <row r="837" spans="2:2" ht="15.75" customHeight="1" x14ac:dyDescent="0.2">
      <c r="B837" s="2"/>
    </row>
    <row r="838" spans="2:2" ht="15.75" customHeight="1" x14ac:dyDescent="0.2">
      <c r="B838" s="2"/>
    </row>
    <row r="839" spans="2:2" ht="15.75" customHeight="1" x14ac:dyDescent="0.2">
      <c r="B839" s="2"/>
    </row>
    <row r="840" spans="2:2" ht="15.75" customHeight="1" x14ac:dyDescent="0.2">
      <c r="B840" s="2"/>
    </row>
    <row r="841" spans="2:2" ht="15.75" customHeight="1" x14ac:dyDescent="0.2">
      <c r="B841" s="2"/>
    </row>
    <row r="842" spans="2:2" ht="15.75" customHeight="1" x14ac:dyDescent="0.2">
      <c r="B842" s="2"/>
    </row>
    <row r="843" spans="2:2" ht="15.75" customHeight="1" x14ac:dyDescent="0.2">
      <c r="B843" s="2"/>
    </row>
    <row r="844" spans="2:2" ht="15.75" customHeight="1" x14ac:dyDescent="0.2">
      <c r="B844" s="2"/>
    </row>
    <row r="845" spans="2:2" ht="15.75" customHeight="1" x14ac:dyDescent="0.2">
      <c r="B845" s="2"/>
    </row>
    <row r="846" spans="2:2" ht="15.75" customHeight="1" x14ac:dyDescent="0.2">
      <c r="B846" s="2"/>
    </row>
    <row r="847" spans="2:2" ht="15.75" customHeight="1" x14ac:dyDescent="0.2">
      <c r="B847" s="2"/>
    </row>
    <row r="848" spans="2:2" ht="15.75" customHeight="1" x14ac:dyDescent="0.2">
      <c r="B848" s="2"/>
    </row>
    <row r="849" spans="2:2" ht="15.75" customHeight="1" x14ac:dyDescent="0.2">
      <c r="B849" s="2"/>
    </row>
    <row r="850" spans="2:2" ht="15.75" customHeight="1" x14ac:dyDescent="0.2">
      <c r="B850" s="2"/>
    </row>
    <row r="851" spans="2:2" ht="15.75" customHeight="1" x14ac:dyDescent="0.2">
      <c r="B851" s="2"/>
    </row>
    <row r="852" spans="2:2" ht="15.75" customHeight="1" x14ac:dyDescent="0.2">
      <c r="B852" s="2"/>
    </row>
    <row r="853" spans="2:2" ht="15.75" customHeight="1" x14ac:dyDescent="0.2">
      <c r="B853" s="2"/>
    </row>
    <row r="854" spans="2:2" ht="15.75" customHeight="1" x14ac:dyDescent="0.2">
      <c r="B854" s="2"/>
    </row>
    <row r="855" spans="2:2" ht="15.75" customHeight="1" x14ac:dyDescent="0.2">
      <c r="B855" s="2"/>
    </row>
    <row r="856" spans="2:2" ht="15.75" customHeight="1" x14ac:dyDescent="0.2">
      <c r="B856" s="2"/>
    </row>
    <row r="857" spans="2:2" ht="15.75" customHeight="1" x14ac:dyDescent="0.2">
      <c r="B857" s="2"/>
    </row>
    <row r="858" spans="2:2" ht="15.75" customHeight="1" x14ac:dyDescent="0.2">
      <c r="B858" s="2"/>
    </row>
    <row r="859" spans="2:2" ht="15.75" customHeight="1" x14ac:dyDescent="0.2">
      <c r="B859" s="2"/>
    </row>
    <row r="860" spans="2:2" ht="15.75" customHeight="1" x14ac:dyDescent="0.2">
      <c r="B860" s="2"/>
    </row>
    <row r="861" spans="2:2" ht="15.75" customHeight="1" x14ac:dyDescent="0.2">
      <c r="B861" s="2"/>
    </row>
    <row r="862" spans="2:2" ht="15.75" customHeight="1" x14ac:dyDescent="0.2">
      <c r="B862" s="2"/>
    </row>
    <row r="863" spans="2:2" ht="15.75" customHeight="1" x14ac:dyDescent="0.2">
      <c r="B863" s="2"/>
    </row>
    <row r="864" spans="2:2" ht="15.75" customHeight="1" x14ac:dyDescent="0.2">
      <c r="B864" s="2"/>
    </row>
    <row r="865" spans="2:2" ht="15.75" customHeight="1" x14ac:dyDescent="0.2">
      <c r="B865" s="2"/>
    </row>
    <row r="866" spans="2:2" ht="15.75" customHeight="1" x14ac:dyDescent="0.2">
      <c r="B866" s="2"/>
    </row>
    <row r="867" spans="2:2" ht="15.75" customHeight="1" x14ac:dyDescent="0.2">
      <c r="B867" s="2"/>
    </row>
    <row r="868" spans="2:2" ht="15.75" customHeight="1" x14ac:dyDescent="0.2">
      <c r="B868" s="2"/>
    </row>
    <row r="869" spans="2:2" ht="15.75" customHeight="1" x14ac:dyDescent="0.2">
      <c r="B869" s="2"/>
    </row>
    <row r="870" spans="2:2" ht="15.75" customHeight="1" x14ac:dyDescent="0.2">
      <c r="B870" s="2"/>
    </row>
    <row r="871" spans="2:2" ht="15.75" customHeight="1" x14ac:dyDescent="0.2">
      <c r="B871" s="2"/>
    </row>
    <row r="872" spans="2:2" ht="15.75" customHeight="1" x14ac:dyDescent="0.2">
      <c r="B872" s="2"/>
    </row>
    <row r="873" spans="2:2" ht="15.75" customHeight="1" x14ac:dyDescent="0.2">
      <c r="B873" s="2"/>
    </row>
    <row r="874" spans="2:2" ht="15.75" customHeight="1" x14ac:dyDescent="0.2">
      <c r="B874" s="2"/>
    </row>
    <row r="875" spans="2:2" ht="15.75" customHeight="1" x14ac:dyDescent="0.2">
      <c r="B875" s="2"/>
    </row>
    <row r="876" spans="2:2" ht="15.75" customHeight="1" x14ac:dyDescent="0.2">
      <c r="B876" s="2"/>
    </row>
    <row r="877" spans="2:2" ht="15.75" customHeight="1" x14ac:dyDescent="0.2">
      <c r="B877" s="2"/>
    </row>
    <row r="878" spans="2:2" ht="15.75" customHeight="1" x14ac:dyDescent="0.2">
      <c r="B878" s="2"/>
    </row>
    <row r="879" spans="2:2" ht="15.75" customHeight="1" x14ac:dyDescent="0.2">
      <c r="B879" s="2"/>
    </row>
    <row r="880" spans="2:2" ht="15.75" customHeight="1" x14ac:dyDescent="0.2">
      <c r="B880" s="2"/>
    </row>
    <row r="881" spans="2:2" ht="15.75" customHeight="1" x14ac:dyDescent="0.2">
      <c r="B881" s="2"/>
    </row>
    <row r="882" spans="2:2" ht="15.75" customHeight="1" x14ac:dyDescent="0.2">
      <c r="B882" s="2"/>
    </row>
    <row r="883" spans="2:2" ht="15.75" customHeight="1" x14ac:dyDescent="0.2">
      <c r="B883" s="2"/>
    </row>
    <row r="884" spans="2:2" ht="15.75" customHeight="1" x14ac:dyDescent="0.2">
      <c r="B884" s="2"/>
    </row>
    <row r="885" spans="2:2" ht="15.75" customHeight="1" x14ac:dyDescent="0.2">
      <c r="B885" s="2"/>
    </row>
    <row r="886" spans="2:2" ht="15.75" customHeight="1" x14ac:dyDescent="0.2">
      <c r="B886" s="2"/>
    </row>
    <row r="887" spans="2:2" ht="15.75" customHeight="1" x14ac:dyDescent="0.2">
      <c r="B887" s="2"/>
    </row>
    <row r="888" spans="2:2" ht="15.75" customHeight="1" x14ac:dyDescent="0.2">
      <c r="B888" s="2"/>
    </row>
    <row r="889" spans="2:2" ht="15.75" customHeight="1" x14ac:dyDescent="0.2">
      <c r="B889" s="2"/>
    </row>
    <row r="890" spans="2:2" ht="15.75" customHeight="1" x14ac:dyDescent="0.2">
      <c r="B890" s="2"/>
    </row>
    <row r="891" spans="2:2" ht="15.75" customHeight="1" x14ac:dyDescent="0.2">
      <c r="B891" s="2"/>
    </row>
    <row r="892" spans="2:2" ht="15.75" customHeight="1" x14ac:dyDescent="0.2">
      <c r="B892" s="2"/>
    </row>
    <row r="893" spans="2:2" ht="15.75" customHeight="1" x14ac:dyDescent="0.2">
      <c r="B893" s="2"/>
    </row>
    <row r="894" spans="2:2" ht="15.75" customHeight="1" x14ac:dyDescent="0.2">
      <c r="B894" s="2"/>
    </row>
    <row r="895" spans="2:2" ht="15.75" customHeight="1" x14ac:dyDescent="0.2">
      <c r="B895" s="2"/>
    </row>
    <row r="896" spans="2:2" ht="15.75" customHeight="1" x14ac:dyDescent="0.2">
      <c r="B896" s="2"/>
    </row>
    <row r="897" spans="2:2" ht="15.75" customHeight="1" x14ac:dyDescent="0.2">
      <c r="B897" s="2"/>
    </row>
    <row r="898" spans="2:2" ht="15.75" customHeight="1" x14ac:dyDescent="0.2">
      <c r="B898" s="2"/>
    </row>
    <row r="899" spans="2:2" ht="15.75" customHeight="1" x14ac:dyDescent="0.2">
      <c r="B899" s="2"/>
    </row>
    <row r="900" spans="2:2" ht="15.75" customHeight="1" x14ac:dyDescent="0.2">
      <c r="B900" s="2"/>
    </row>
    <row r="901" spans="2:2" ht="15.75" customHeight="1" x14ac:dyDescent="0.2">
      <c r="B901" s="2"/>
    </row>
    <row r="902" spans="2:2" ht="15.75" customHeight="1" x14ac:dyDescent="0.2">
      <c r="B902" s="2"/>
    </row>
    <row r="903" spans="2:2" ht="15.75" customHeight="1" x14ac:dyDescent="0.2">
      <c r="B903" s="2"/>
    </row>
    <row r="904" spans="2:2" ht="15.75" customHeight="1" x14ac:dyDescent="0.2">
      <c r="B904" s="2"/>
    </row>
    <row r="905" spans="2:2" ht="15.75" customHeight="1" x14ac:dyDescent="0.2">
      <c r="B905" s="2"/>
    </row>
    <row r="906" spans="2:2" ht="15.75" customHeight="1" x14ac:dyDescent="0.2">
      <c r="B906" s="2"/>
    </row>
    <row r="907" spans="2:2" ht="15.75" customHeight="1" x14ac:dyDescent="0.2">
      <c r="B907" s="2"/>
    </row>
    <row r="908" spans="2:2" ht="15.75" customHeight="1" x14ac:dyDescent="0.2">
      <c r="B908" s="2"/>
    </row>
    <row r="909" spans="2:2" ht="15.75" customHeight="1" x14ac:dyDescent="0.2">
      <c r="B909" s="2"/>
    </row>
    <row r="910" spans="2:2" ht="15.75" customHeight="1" x14ac:dyDescent="0.2">
      <c r="B910" s="2"/>
    </row>
    <row r="911" spans="2:2" ht="15.75" customHeight="1" x14ac:dyDescent="0.2">
      <c r="B911" s="2"/>
    </row>
    <row r="912" spans="2:2" ht="15.75" customHeight="1" x14ac:dyDescent="0.2">
      <c r="B912" s="2"/>
    </row>
    <row r="913" spans="2:2" ht="15.75" customHeight="1" x14ac:dyDescent="0.2">
      <c r="B913" s="2"/>
    </row>
    <row r="914" spans="2:2" ht="15.75" customHeight="1" x14ac:dyDescent="0.2">
      <c r="B914" s="2"/>
    </row>
    <row r="915" spans="2:2" ht="15.75" customHeight="1" x14ac:dyDescent="0.2">
      <c r="B915" s="2"/>
    </row>
    <row r="916" spans="2:2" ht="15.75" customHeight="1" x14ac:dyDescent="0.2">
      <c r="B916" s="2"/>
    </row>
    <row r="917" spans="2:2" ht="15.75" customHeight="1" x14ac:dyDescent="0.2">
      <c r="B917" s="2"/>
    </row>
    <row r="918" spans="2:2" ht="15.75" customHeight="1" x14ac:dyDescent="0.2">
      <c r="B918" s="2"/>
    </row>
    <row r="919" spans="2:2" ht="15.75" customHeight="1" x14ac:dyDescent="0.2">
      <c r="B919" s="2"/>
    </row>
    <row r="920" spans="2:2" ht="15.75" customHeight="1" x14ac:dyDescent="0.2">
      <c r="B920" s="2"/>
    </row>
    <row r="921" spans="2:2" ht="15.75" customHeight="1" x14ac:dyDescent="0.2">
      <c r="B921" s="2"/>
    </row>
    <row r="922" spans="2:2" ht="15.75" customHeight="1" x14ac:dyDescent="0.2">
      <c r="B922" s="2"/>
    </row>
    <row r="923" spans="2:2" ht="15.75" customHeight="1" x14ac:dyDescent="0.2">
      <c r="B923" s="2"/>
    </row>
    <row r="924" spans="2:2" ht="15.75" customHeight="1" x14ac:dyDescent="0.2">
      <c r="B924" s="2"/>
    </row>
    <row r="925" spans="2:2" ht="15.75" customHeight="1" x14ac:dyDescent="0.2">
      <c r="B925" s="2"/>
    </row>
    <row r="926" spans="2:2" ht="15.75" customHeight="1" x14ac:dyDescent="0.2">
      <c r="B926" s="2"/>
    </row>
    <row r="927" spans="2:2" ht="15.75" customHeight="1" x14ac:dyDescent="0.2">
      <c r="B927" s="2"/>
    </row>
    <row r="928" spans="2:2" ht="15.75" customHeight="1" x14ac:dyDescent="0.2">
      <c r="B928" s="2"/>
    </row>
    <row r="929" spans="2:2" ht="15.75" customHeight="1" x14ac:dyDescent="0.2">
      <c r="B929" s="2"/>
    </row>
    <row r="930" spans="2:2" ht="15.75" customHeight="1" x14ac:dyDescent="0.2">
      <c r="B930" s="2"/>
    </row>
    <row r="931" spans="2:2" ht="15.75" customHeight="1" x14ac:dyDescent="0.2">
      <c r="B931" s="2"/>
    </row>
    <row r="932" spans="2:2" ht="15.75" customHeight="1" x14ac:dyDescent="0.2">
      <c r="B932" s="2"/>
    </row>
    <row r="933" spans="2:2" ht="15.75" customHeight="1" x14ac:dyDescent="0.2">
      <c r="B933" s="2"/>
    </row>
    <row r="934" spans="2:2" ht="15.75" customHeight="1" x14ac:dyDescent="0.2">
      <c r="B934" s="2"/>
    </row>
    <row r="935" spans="2:2" ht="15.75" customHeight="1" x14ac:dyDescent="0.2">
      <c r="B935" s="2"/>
    </row>
    <row r="936" spans="2:2" ht="15.75" customHeight="1" x14ac:dyDescent="0.2">
      <c r="B936" s="2"/>
    </row>
    <row r="937" spans="2:2" ht="15.75" customHeight="1" x14ac:dyDescent="0.2">
      <c r="B937" s="2"/>
    </row>
    <row r="938" spans="2:2" ht="15.75" customHeight="1" x14ac:dyDescent="0.2">
      <c r="B938" s="2"/>
    </row>
    <row r="939" spans="2:2" ht="15.75" customHeight="1" x14ac:dyDescent="0.2">
      <c r="B939" s="2"/>
    </row>
    <row r="940" spans="2:2" ht="15.75" customHeight="1" x14ac:dyDescent="0.2">
      <c r="B940" s="2"/>
    </row>
    <row r="941" spans="2:2" ht="15.75" customHeight="1" x14ac:dyDescent="0.2">
      <c r="B941" s="2"/>
    </row>
    <row r="942" spans="2:2" ht="15.75" customHeight="1" x14ac:dyDescent="0.2">
      <c r="B942" s="2"/>
    </row>
    <row r="943" spans="2:2" ht="15.75" customHeight="1" x14ac:dyDescent="0.2">
      <c r="B943" s="2"/>
    </row>
    <row r="944" spans="2:2" ht="15.75" customHeight="1" x14ac:dyDescent="0.2">
      <c r="B944" s="2"/>
    </row>
    <row r="945" spans="2:2" ht="15.75" customHeight="1" x14ac:dyDescent="0.2">
      <c r="B945" s="2"/>
    </row>
    <row r="946" spans="2:2" ht="15.75" customHeight="1" x14ac:dyDescent="0.2">
      <c r="B946" s="2"/>
    </row>
    <row r="947" spans="2:2" ht="15.75" customHeight="1" x14ac:dyDescent="0.2">
      <c r="B947" s="2"/>
    </row>
    <row r="948" spans="2:2" ht="15.75" customHeight="1" x14ac:dyDescent="0.2">
      <c r="B948" s="2"/>
    </row>
    <row r="949" spans="2:2" ht="15.75" customHeight="1" x14ac:dyDescent="0.2">
      <c r="B949" s="2"/>
    </row>
    <row r="950" spans="2:2" ht="15.75" customHeight="1" x14ac:dyDescent="0.2">
      <c r="B950" s="2"/>
    </row>
    <row r="951" spans="2:2" ht="15.75" customHeight="1" x14ac:dyDescent="0.2">
      <c r="B951" s="2"/>
    </row>
    <row r="952" spans="2:2" ht="15.75" customHeight="1" x14ac:dyDescent="0.2">
      <c r="B952" s="2"/>
    </row>
    <row r="953" spans="2:2" ht="15.75" customHeight="1" x14ac:dyDescent="0.2">
      <c r="B953" s="2"/>
    </row>
    <row r="954" spans="2:2" ht="15.75" customHeight="1" x14ac:dyDescent="0.2">
      <c r="B954" s="2"/>
    </row>
    <row r="955" spans="2:2" ht="15.75" customHeight="1" x14ac:dyDescent="0.2">
      <c r="B955" s="2"/>
    </row>
    <row r="956" spans="2:2" ht="15.75" customHeight="1" x14ac:dyDescent="0.2">
      <c r="B956" s="2"/>
    </row>
    <row r="957" spans="2:2" ht="15.75" customHeight="1" x14ac:dyDescent="0.2">
      <c r="B957" s="2"/>
    </row>
    <row r="958" spans="2:2" ht="15.75" customHeight="1" x14ac:dyDescent="0.2">
      <c r="B958" s="2"/>
    </row>
    <row r="959" spans="2:2" ht="15.75" customHeight="1" x14ac:dyDescent="0.2">
      <c r="B959" s="2"/>
    </row>
    <row r="960" spans="2:2" ht="15.75" customHeight="1" x14ac:dyDescent="0.2">
      <c r="B960" s="2"/>
    </row>
    <row r="961" spans="2:2" ht="15.75" customHeight="1" x14ac:dyDescent="0.2">
      <c r="B961" s="2"/>
    </row>
    <row r="962" spans="2:2" ht="15.75" customHeight="1" x14ac:dyDescent="0.2">
      <c r="B962" s="2"/>
    </row>
    <row r="963" spans="2:2" ht="15.75" customHeight="1" x14ac:dyDescent="0.2">
      <c r="B963" s="2"/>
    </row>
    <row r="964" spans="2:2" ht="15.75" customHeight="1" x14ac:dyDescent="0.2">
      <c r="B964" s="2"/>
    </row>
    <row r="965" spans="2:2" ht="15.75" customHeight="1" x14ac:dyDescent="0.2">
      <c r="B965" s="2"/>
    </row>
    <row r="966" spans="2:2" ht="15.75" customHeight="1" x14ac:dyDescent="0.2">
      <c r="B966" s="2"/>
    </row>
    <row r="967" spans="2:2" ht="15.75" customHeight="1" x14ac:dyDescent="0.2">
      <c r="B967" s="2"/>
    </row>
    <row r="968" spans="2:2" ht="15.75" customHeight="1" x14ac:dyDescent="0.2">
      <c r="B968" s="2"/>
    </row>
    <row r="969" spans="2:2" ht="15.75" customHeight="1" x14ac:dyDescent="0.2">
      <c r="B969" s="2"/>
    </row>
    <row r="970" spans="2:2" ht="15.75" customHeight="1" x14ac:dyDescent="0.2">
      <c r="B970" s="2"/>
    </row>
    <row r="971" spans="2:2" ht="15.75" customHeight="1" x14ac:dyDescent="0.2">
      <c r="B971" s="2"/>
    </row>
    <row r="972" spans="2:2" ht="15.75" customHeight="1" x14ac:dyDescent="0.2">
      <c r="B972" s="2"/>
    </row>
    <row r="973" spans="2:2" ht="15.75" customHeight="1" x14ac:dyDescent="0.2">
      <c r="B973" s="2"/>
    </row>
    <row r="974" spans="2:2" ht="15.75" customHeight="1" x14ac:dyDescent="0.2">
      <c r="B974" s="2"/>
    </row>
    <row r="975" spans="2:2" ht="15.75" customHeight="1" x14ac:dyDescent="0.2">
      <c r="B975" s="2"/>
    </row>
    <row r="976" spans="2:2" ht="15.75" customHeight="1" x14ac:dyDescent="0.2">
      <c r="B976" s="2"/>
    </row>
    <row r="977" spans="2:2" ht="15.75" customHeight="1" x14ac:dyDescent="0.2">
      <c r="B977" s="2"/>
    </row>
    <row r="978" spans="2:2" ht="15.75" customHeight="1" x14ac:dyDescent="0.2">
      <c r="B978" s="2"/>
    </row>
    <row r="979" spans="2:2" ht="15.75" customHeight="1" x14ac:dyDescent="0.2">
      <c r="B979" s="2"/>
    </row>
    <row r="980" spans="2:2" ht="15.75" customHeight="1" x14ac:dyDescent="0.2">
      <c r="B980" s="2"/>
    </row>
    <row r="981" spans="2:2" ht="15.75" customHeight="1" x14ac:dyDescent="0.2">
      <c r="B981" s="2"/>
    </row>
    <row r="982" spans="2:2" ht="15.75" customHeight="1" x14ac:dyDescent="0.2">
      <c r="B982" s="2"/>
    </row>
    <row r="983" spans="2:2" ht="15.75" customHeight="1" x14ac:dyDescent="0.2">
      <c r="B983" s="2"/>
    </row>
    <row r="984" spans="2:2" ht="15.75" customHeight="1" x14ac:dyDescent="0.2">
      <c r="B984" s="2"/>
    </row>
    <row r="985" spans="2:2" ht="15.75" customHeight="1" x14ac:dyDescent="0.2">
      <c r="B985" s="2"/>
    </row>
    <row r="986" spans="2:2" ht="15.75" customHeight="1" x14ac:dyDescent="0.2">
      <c r="B986" s="2"/>
    </row>
    <row r="987" spans="2:2" ht="15.75" customHeight="1" x14ac:dyDescent="0.2">
      <c r="B987" s="2"/>
    </row>
    <row r="988" spans="2:2" ht="15.75" customHeight="1" x14ac:dyDescent="0.2">
      <c r="B988" s="2"/>
    </row>
    <row r="989" spans="2:2" ht="15.75" customHeight="1" x14ac:dyDescent="0.2">
      <c r="B989" s="2"/>
    </row>
    <row r="990" spans="2:2" ht="15.75" customHeight="1" x14ac:dyDescent="0.2">
      <c r="B990" s="2"/>
    </row>
    <row r="991" spans="2:2" ht="15.75" customHeight="1" x14ac:dyDescent="0.2">
      <c r="B991" s="2"/>
    </row>
    <row r="992" spans="2:2" ht="15.75" customHeight="1" x14ac:dyDescent="0.2">
      <c r="B992" s="2"/>
    </row>
    <row r="993" spans="2:2" ht="15.75" customHeight="1" x14ac:dyDescent="0.2">
      <c r="B993" s="2"/>
    </row>
    <row r="994" spans="2:2" ht="15.75" customHeight="1" x14ac:dyDescent="0.2">
      <c r="B994" s="2"/>
    </row>
    <row r="995" spans="2:2" ht="15.75" customHeight="1" x14ac:dyDescent="0.2">
      <c r="B995" s="2"/>
    </row>
    <row r="996" spans="2:2" ht="15.75" customHeight="1" x14ac:dyDescent="0.2">
      <c r="B996" s="2"/>
    </row>
    <row r="997" spans="2:2" ht="15.75" customHeight="1" x14ac:dyDescent="0.2">
      <c r="B997" s="2"/>
    </row>
    <row r="998" spans="2:2" ht="15.75" customHeight="1" x14ac:dyDescent="0.2">
      <c r="B998"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991"/>
  <sheetViews>
    <sheetView tabSelected="1" zoomScale="110" zoomScaleNormal="110" workbookViewId="0">
      <pane xSplit="1" ySplit="1" topLeftCell="B29" activePane="bottomRight" state="frozen"/>
      <selection pane="topRight" activeCell="B1" sqref="B1"/>
      <selection pane="bottomLeft" activeCell="A93" sqref="A93"/>
      <selection pane="bottomRight" activeCell="A274" sqref="A274:XFD281"/>
    </sheetView>
  </sheetViews>
  <sheetFormatPr baseColWidth="10" defaultColWidth="14.5" defaultRowHeight="15" x14ac:dyDescent="0.2"/>
  <cols>
    <col min="1" max="1" width="22" customWidth="1"/>
    <col min="2" max="2" width="20" customWidth="1"/>
    <col min="3" max="3" width="6" customWidth="1"/>
    <col min="4" max="4" width="52" customWidth="1"/>
    <col min="5" max="5" width="16" customWidth="1"/>
    <col min="6" max="6" width="30" customWidth="1"/>
    <col min="7" max="7" width="24" customWidth="1"/>
    <col min="8" max="8" width="22" customWidth="1"/>
    <col min="9" max="9" width="32.83203125" customWidth="1"/>
    <col min="10" max="10" width="22" customWidth="1"/>
    <col min="11" max="11" width="28" customWidth="1"/>
    <col min="12" max="12" width="45.33203125" customWidth="1"/>
    <col min="13" max="13" width="60" customWidth="1"/>
    <col min="14" max="14" width="22" customWidth="1"/>
    <col min="15" max="15" width="24" customWidth="1"/>
    <col min="16" max="16" width="30" customWidth="1"/>
    <col min="17" max="18" width="13" customWidth="1"/>
    <col min="19" max="19" width="12" customWidth="1"/>
    <col min="20" max="20" width="41" customWidth="1"/>
    <col min="21" max="21" width="28" customWidth="1"/>
    <col min="22" max="22" width="35.6640625" customWidth="1"/>
    <col min="23" max="29" width="15.33203125" customWidth="1"/>
    <col min="30" max="36" width="11" customWidth="1"/>
    <col min="37" max="37" width="14.33203125" customWidth="1"/>
    <col min="38" max="38" width="23.6640625" customWidth="1"/>
    <col min="39" max="39" width="28" customWidth="1"/>
    <col min="40" max="40" width="28.33203125" customWidth="1"/>
    <col min="41" max="41" width="19.33203125" customWidth="1"/>
    <col min="42" max="42" width="16.33203125" customWidth="1"/>
    <col min="43" max="43" width="25.6640625" customWidth="1"/>
    <col min="44" max="44" width="33.83203125" customWidth="1"/>
    <col min="45" max="47" width="20.5" customWidth="1"/>
    <col min="48" max="48" width="23.33203125" customWidth="1"/>
    <col min="49" max="49" width="31" customWidth="1"/>
    <col min="50" max="50" width="19.33203125" customWidth="1"/>
    <col min="52" max="52" width="27" customWidth="1"/>
  </cols>
  <sheetData>
    <row r="1" spans="1:62" ht="36" customHeight="1" x14ac:dyDescent="0.2">
      <c r="A1" s="8" t="s">
        <v>26</v>
      </c>
      <c r="B1" s="8" t="s">
        <v>27</v>
      </c>
      <c r="C1" s="9" t="s">
        <v>28</v>
      </c>
      <c r="D1" s="8" t="s">
        <v>29</v>
      </c>
      <c r="E1" s="8" t="s">
        <v>30</v>
      </c>
      <c r="F1" s="8" t="s">
        <v>31</v>
      </c>
      <c r="G1" s="8" t="s">
        <v>32</v>
      </c>
      <c r="H1" s="8" t="s">
        <v>33</v>
      </c>
      <c r="I1" s="9" t="s">
        <v>34</v>
      </c>
      <c r="J1" s="8" t="s">
        <v>35</v>
      </c>
      <c r="K1" s="9" t="s">
        <v>36</v>
      </c>
      <c r="L1" s="9" t="s">
        <v>37</v>
      </c>
      <c r="M1" s="9" t="s">
        <v>38</v>
      </c>
      <c r="N1" s="8" t="s">
        <v>39</v>
      </c>
      <c r="O1" s="8" t="s">
        <v>40</v>
      </c>
      <c r="P1" s="8" t="s">
        <v>41</v>
      </c>
      <c r="Q1" s="8" t="s">
        <v>42</v>
      </c>
      <c r="R1" s="8" t="s">
        <v>43</v>
      </c>
      <c r="S1" s="8" t="s">
        <v>44</v>
      </c>
      <c r="T1" s="8" t="s">
        <v>45</v>
      </c>
      <c r="U1" s="9" t="s">
        <v>46</v>
      </c>
      <c r="V1" s="8" t="s">
        <v>47</v>
      </c>
      <c r="W1" s="10" t="s">
        <v>48</v>
      </c>
      <c r="X1" s="10" t="s">
        <v>49</v>
      </c>
      <c r="Y1" s="10" t="s">
        <v>50</v>
      </c>
      <c r="Z1" s="10" t="s">
        <v>51</v>
      </c>
      <c r="AA1" s="10" t="s">
        <v>52</v>
      </c>
      <c r="AB1" s="10" t="s">
        <v>53</v>
      </c>
      <c r="AC1" s="10" t="s">
        <v>54</v>
      </c>
      <c r="AD1" s="10" t="s">
        <v>55</v>
      </c>
      <c r="AE1" s="10" t="s">
        <v>56</v>
      </c>
      <c r="AF1" s="10" t="s">
        <v>57</v>
      </c>
      <c r="AG1" s="10" t="s">
        <v>58</v>
      </c>
      <c r="AH1" s="10" t="s">
        <v>59</v>
      </c>
      <c r="AI1" s="10" t="s">
        <v>60</v>
      </c>
      <c r="AJ1" s="10" t="s">
        <v>61</v>
      </c>
      <c r="AK1" s="10" t="s">
        <v>62</v>
      </c>
      <c r="AL1" s="1" t="s">
        <v>63</v>
      </c>
      <c r="AM1" s="1" t="s">
        <v>64</v>
      </c>
      <c r="AN1" s="11" t="s">
        <v>65</v>
      </c>
      <c r="AO1" s="12" t="s">
        <v>66</v>
      </c>
      <c r="AP1" s="12" t="s">
        <v>67</v>
      </c>
      <c r="AQ1" s="1" t="s">
        <v>68</v>
      </c>
      <c r="AR1" s="1" t="s">
        <v>69</v>
      </c>
      <c r="AS1" s="1" t="s">
        <v>70</v>
      </c>
      <c r="AT1" s="1" t="s">
        <v>71</v>
      </c>
      <c r="AU1" s="1" t="s">
        <v>72</v>
      </c>
      <c r="AV1" s="11" t="s">
        <v>73</v>
      </c>
      <c r="AW1" s="12" t="s">
        <v>74</v>
      </c>
      <c r="AX1" s="12" t="s">
        <v>75</v>
      </c>
      <c r="AY1" s="12" t="s">
        <v>76</v>
      </c>
      <c r="AZ1" s="12" t="s">
        <v>77</v>
      </c>
      <c r="BA1" s="12" t="s">
        <v>78</v>
      </c>
      <c r="BB1" s="12" t="s">
        <v>79</v>
      </c>
      <c r="BC1" s="12" t="s">
        <v>2100</v>
      </c>
      <c r="BD1" s="12" t="s">
        <v>2101</v>
      </c>
      <c r="BE1" s="12" t="s">
        <v>2102</v>
      </c>
      <c r="BF1" t="s">
        <v>80</v>
      </c>
      <c r="BG1" t="s">
        <v>81</v>
      </c>
      <c r="BH1" t="s">
        <v>82</v>
      </c>
      <c r="BI1" t="s">
        <v>83</v>
      </c>
      <c r="BJ1" t="s">
        <v>84</v>
      </c>
    </row>
    <row r="2" spans="1:62" ht="30" customHeight="1" x14ac:dyDescent="0.2">
      <c r="A2" s="13" t="s">
        <v>85</v>
      </c>
      <c r="B2" s="14" t="s">
        <v>86</v>
      </c>
      <c r="C2" s="15" t="s">
        <v>87</v>
      </c>
      <c r="D2" s="14" t="s">
        <v>88</v>
      </c>
      <c r="E2" s="14" t="s">
        <v>89</v>
      </c>
      <c r="F2" s="14" t="s">
        <v>90</v>
      </c>
      <c r="G2" s="14" t="s">
        <v>90</v>
      </c>
      <c r="H2" s="14" t="s">
        <v>91</v>
      </c>
      <c r="I2" s="14"/>
      <c r="J2" s="14" t="s">
        <v>92</v>
      </c>
      <c r="K2" s="14" t="s">
        <v>93</v>
      </c>
      <c r="L2" s="14"/>
      <c r="M2" s="16" t="s">
        <v>94</v>
      </c>
      <c r="N2" s="14" t="s">
        <v>95</v>
      </c>
      <c r="O2" s="14" t="s">
        <v>96</v>
      </c>
      <c r="P2" s="14"/>
      <c r="Q2" s="14"/>
      <c r="R2" s="14"/>
      <c r="S2" s="14">
        <v>1</v>
      </c>
      <c r="T2" s="14"/>
      <c r="U2" s="14"/>
      <c r="V2" s="14" t="s">
        <v>97</v>
      </c>
      <c r="W2" s="17">
        <v>0.1</v>
      </c>
      <c r="X2" s="17">
        <v>0.1</v>
      </c>
      <c r="Y2" s="17">
        <v>0.2</v>
      </c>
      <c r="Z2" s="17">
        <v>0.5</v>
      </c>
      <c r="AA2" s="18" t="b">
        <f>FALSE()</f>
        <v>0</v>
      </c>
      <c r="AB2" s="18" t="s">
        <v>98</v>
      </c>
      <c r="AC2" s="19">
        <v>0.23899999999999999</v>
      </c>
      <c r="AD2" s="19">
        <v>0.435</v>
      </c>
      <c r="AE2" s="19">
        <v>4.2999999999999997E-2</v>
      </c>
      <c r="AF2" s="19">
        <v>0.109</v>
      </c>
      <c r="AG2" s="19">
        <v>4.2999999999999997E-2</v>
      </c>
      <c r="AH2" s="19">
        <v>4.2999999999999997E-2</v>
      </c>
      <c r="AI2" s="19">
        <v>4.2999999999999997E-2</v>
      </c>
      <c r="AJ2" s="19">
        <v>4.2999999999999997E-2</v>
      </c>
      <c r="AK2" s="18" t="s">
        <v>89</v>
      </c>
      <c r="BF2" t="s">
        <v>99</v>
      </c>
      <c r="BH2" t="s">
        <v>100</v>
      </c>
      <c r="BI2" t="s">
        <v>101</v>
      </c>
    </row>
    <row r="3" spans="1:62" ht="30" customHeight="1" x14ac:dyDescent="0.2">
      <c r="A3" s="20" t="s">
        <v>102</v>
      </c>
      <c r="B3" s="21" t="s">
        <v>103</v>
      </c>
      <c r="C3" s="22" t="s">
        <v>104</v>
      </c>
      <c r="D3" s="21" t="s">
        <v>105</v>
      </c>
      <c r="E3" s="21" t="s">
        <v>89</v>
      </c>
      <c r="F3" s="21" t="s">
        <v>106</v>
      </c>
      <c r="G3" s="21" t="s">
        <v>107</v>
      </c>
      <c r="H3" s="21" t="s">
        <v>108</v>
      </c>
      <c r="I3" s="21"/>
      <c r="J3" s="21" t="s">
        <v>109</v>
      </c>
      <c r="K3" s="21" t="s">
        <v>93</v>
      </c>
      <c r="L3" s="21"/>
      <c r="M3" s="23" t="s">
        <v>110</v>
      </c>
      <c r="N3" s="21" t="s">
        <v>111</v>
      </c>
      <c r="O3" s="21" t="s">
        <v>112</v>
      </c>
      <c r="P3" s="21"/>
      <c r="Q3" s="21" t="s">
        <v>113</v>
      </c>
      <c r="R3" s="21"/>
      <c r="S3" s="21">
        <v>5</v>
      </c>
      <c r="T3" s="21" t="s">
        <v>114</v>
      </c>
      <c r="U3" s="21"/>
      <c r="V3" s="14" t="s">
        <v>97</v>
      </c>
      <c r="W3" s="17">
        <v>0.3</v>
      </c>
      <c r="X3" s="17">
        <v>0.4</v>
      </c>
      <c r="Y3" s="17">
        <v>0.65</v>
      </c>
      <c r="Z3" s="17">
        <v>0.55000000000000004</v>
      </c>
      <c r="AA3" s="18" t="b">
        <f>FALSE()</f>
        <v>0</v>
      </c>
      <c r="AB3" s="18" t="s">
        <v>98</v>
      </c>
      <c r="AC3" s="19">
        <v>0.312</v>
      </c>
      <c r="AD3" s="19">
        <v>0.625</v>
      </c>
      <c r="AE3" s="19">
        <v>0</v>
      </c>
      <c r="AF3" s="19">
        <v>6.2E-2</v>
      </c>
      <c r="AG3" s="19">
        <v>0</v>
      </c>
      <c r="AH3" s="19">
        <v>0</v>
      </c>
      <c r="AI3" s="19">
        <v>0</v>
      </c>
      <c r="AJ3" s="19">
        <v>0</v>
      </c>
      <c r="AK3" s="18" t="s">
        <v>89</v>
      </c>
      <c r="AS3" s="2" t="s">
        <v>89</v>
      </c>
      <c r="AT3" s="2"/>
      <c r="AU3" s="2"/>
      <c r="BF3" t="s">
        <v>99</v>
      </c>
      <c r="BH3" t="s">
        <v>100</v>
      </c>
      <c r="BI3" t="s">
        <v>101</v>
      </c>
    </row>
    <row r="4" spans="1:62" ht="30" customHeight="1" x14ac:dyDescent="0.2">
      <c r="A4" s="13" t="s">
        <v>115</v>
      </c>
      <c r="B4" s="14" t="s">
        <v>116</v>
      </c>
      <c r="C4" s="15" t="s">
        <v>117</v>
      </c>
      <c r="D4" s="14" t="s">
        <v>118</v>
      </c>
      <c r="E4" s="14" t="s">
        <v>89</v>
      </c>
      <c r="F4" s="14" t="s">
        <v>119</v>
      </c>
      <c r="G4" s="14" t="s">
        <v>120</v>
      </c>
      <c r="H4" s="14" t="s">
        <v>121</v>
      </c>
      <c r="I4" s="14"/>
      <c r="J4" s="14" t="s">
        <v>122</v>
      </c>
      <c r="K4" s="14" t="s">
        <v>93</v>
      </c>
      <c r="L4" s="14"/>
      <c r="M4" s="16" t="s">
        <v>123</v>
      </c>
      <c r="N4" s="14" t="s">
        <v>111</v>
      </c>
      <c r="O4" s="14" t="s">
        <v>124</v>
      </c>
      <c r="P4" s="14"/>
      <c r="Q4" s="14" t="s">
        <v>113</v>
      </c>
      <c r="R4" s="14"/>
      <c r="S4" s="14">
        <v>5</v>
      </c>
      <c r="T4" s="14" t="s">
        <v>125</v>
      </c>
      <c r="U4" s="14" t="s">
        <v>2141</v>
      </c>
      <c r="V4" s="14" t="s">
        <v>97</v>
      </c>
      <c r="W4" s="17">
        <v>0.81</v>
      </c>
      <c r="X4" s="17">
        <v>0.75</v>
      </c>
      <c r="Y4" s="17">
        <v>0.42</v>
      </c>
      <c r="Z4" s="17">
        <v>0.8</v>
      </c>
      <c r="AA4" s="18" t="b">
        <f>FALSE()</f>
        <v>0</v>
      </c>
      <c r="AB4" s="18" t="s">
        <v>126</v>
      </c>
      <c r="AC4" s="19">
        <v>0.23899999999999999</v>
      </c>
      <c r="AD4" s="19">
        <v>0.435</v>
      </c>
      <c r="AE4" s="19">
        <v>4.2999999999999997E-2</v>
      </c>
      <c r="AF4" s="19">
        <v>0.109</v>
      </c>
      <c r="AG4" s="19">
        <v>4.2999999999999997E-2</v>
      </c>
      <c r="AH4" s="19">
        <v>4.2999999999999997E-2</v>
      </c>
      <c r="AI4" s="19">
        <v>4.2999999999999997E-2</v>
      </c>
      <c r="AJ4" s="19">
        <v>4.2999999999999997E-2</v>
      </c>
      <c r="AK4" s="18" t="s">
        <v>89</v>
      </c>
      <c r="BF4" t="s">
        <v>99</v>
      </c>
      <c r="BH4" t="s">
        <v>100</v>
      </c>
      <c r="BI4" t="s">
        <v>101</v>
      </c>
    </row>
    <row r="5" spans="1:62" ht="30" customHeight="1" x14ac:dyDescent="0.2">
      <c r="A5" s="20" t="s">
        <v>127</v>
      </c>
      <c r="B5" s="21" t="s">
        <v>128</v>
      </c>
      <c r="C5" s="22" t="s">
        <v>129</v>
      </c>
      <c r="D5" s="21" t="s">
        <v>130</v>
      </c>
      <c r="E5" s="21" t="s">
        <v>89</v>
      </c>
      <c r="F5" s="21" t="s">
        <v>106</v>
      </c>
      <c r="G5" s="21" t="s">
        <v>131</v>
      </c>
      <c r="H5" s="21" t="s">
        <v>108</v>
      </c>
      <c r="I5" s="21"/>
      <c r="J5" s="21" t="s">
        <v>132</v>
      </c>
      <c r="K5" s="21" t="s">
        <v>93</v>
      </c>
      <c r="L5" s="21"/>
      <c r="M5" s="23" t="s">
        <v>133</v>
      </c>
      <c r="N5" s="21" t="s">
        <v>111</v>
      </c>
      <c r="O5" s="21" t="s">
        <v>134</v>
      </c>
      <c r="P5" s="21"/>
      <c r="Q5" s="21"/>
      <c r="R5" s="21"/>
      <c r="S5" s="21">
        <v>3</v>
      </c>
      <c r="T5" s="21"/>
      <c r="U5" s="21"/>
      <c r="V5" s="14" t="s">
        <v>97</v>
      </c>
      <c r="W5" s="17">
        <v>0.3</v>
      </c>
      <c r="X5" s="17">
        <v>0.4</v>
      </c>
      <c r="Y5" s="17">
        <v>0.65</v>
      </c>
      <c r="Z5" s="17">
        <v>0.55000000000000004</v>
      </c>
      <c r="AA5" s="18" t="b">
        <f>FALSE()</f>
        <v>0</v>
      </c>
      <c r="AB5" s="18" t="s">
        <v>98</v>
      </c>
      <c r="AC5" s="19">
        <v>0.312</v>
      </c>
      <c r="AD5" s="19">
        <v>0.625</v>
      </c>
      <c r="AE5" s="19">
        <v>0</v>
      </c>
      <c r="AF5" s="19">
        <v>6.2E-2</v>
      </c>
      <c r="AG5" s="19">
        <v>0</v>
      </c>
      <c r="AH5" s="19">
        <v>0</v>
      </c>
      <c r="AI5" s="19">
        <v>0</v>
      </c>
      <c r="AJ5" s="19">
        <v>0</v>
      </c>
      <c r="AK5" s="18" t="s">
        <v>89</v>
      </c>
      <c r="BF5" t="s">
        <v>99</v>
      </c>
      <c r="BH5" t="s">
        <v>100</v>
      </c>
      <c r="BI5" t="s">
        <v>101</v>
      </c>
    </row>
    <row r="6" spans="1:62" ht="30" customHeight="1" x14ac:dyDescent="0.2">
      <c r="A6" s="13" t="s">
        <v>135</v>
      </c>
      <c r="B6" s="14" t="s">
        <v>128</v>
      </c>
      <c r="C6" s="15" t="s">
        <v>136</v>
      </c>
      <c r="D6" s="14" t="s">
        <v>137</v>
      </c>
      <c r="E6" s="14" t="s">
        <v>89</v>
      </c>
      <c r="F6" s="14" t="s">
        <v>106</v>
      </c>
      <c r="G6" s="14" t="s">
        <v>107</v>
      </c>
      <c r="H6" s="14" t="s">
        <v>108</v>
      </c>
      <c r="I6" s="14"/>
      <c r="J6" s="14" t="s">
        <v>109</v>
      </c>
      <c r="K6" s="14" t="s">
        <v>93</v>
      </c>
      <c r="L6" s="14"/>
      <c r="M6" s="16" t="s">
        <v>138</v>
      </c>
      <c r="N6" s="14" t="s">
        <v>111</v>
      </c>
      <c r="O6" s="14" t="s">
        <v>139</v>
      </c>
      <c r="P6" s="14"/>
      <c r="Q6" s="14"/>
      <c r="R6" s="14"/>
      <c r="S6" s="14">
        <v>5</v>
      </c>
      <c r="T6" s="14"/>
      <c r="U6" s="14"/>
      <c r="V6" s="14" t="s">
        <v>97</v>
      </c>
      <c r="W6" s="17">
        <v>0.3</v>
      </c>
      <c r="X6" s="17">
        <v>0.4</v>
      </c>
      <c r="Y6" s="17">
        <v>0.65</v>
      </c>
      <c r="Z6" s="17">
        <v>0.55000000000000004</v>
      </c>
      <c r="AA6" s="18" t="b">
        <f>FALSE()</f>
        <v>0</v>
      </c>
      <c r="AB6" s="18" t="s">
        <v>98</v>
      </c>
      <c r="AC6" s="19">
        <v>0.312</v>
      </c>
      <c r="AD6" s="19">
        <v>0.625</v>
      </c>
      <c r="AE6" s="19">
        <v>0</v>
      </c>
      <c r="AF6" s="19">
        <v>6.2E-2</v>
      </c>
      <c r="AG6" s="19">
        <v>0</v>
      </c>
      <c r="AH6" s="19">
        <v>0</v>
      </c>
      <c r="AI6" s="19">
        <v>0</v>
      </c>
      <c r="AJ6" s="19">
        <v>0</v>
      </c>
      <c r="AK6" s="18" t="s">
        <v>89</v>
      </c>
      <c r="BF6" t="s">
        <v>99</v>
      </c>
      <c r="BH6" t="s">
        <v>100</v>
      </c>
      <c r="BI6" t="s">
        <v>101</v>
      </c>
    </row>
    <row r="7" spans="1:62" ht="30" customHeight="1" x14ac:dyDescent="0.2">
      <c r="A7" s="20" t="s">
        <v>140</v>
      </c>
      <c r="B7" s="21" t="s">
        <v>103</v>
      </c>
      <c r="C7" s="22" t="s">
        <v>141</v>
      </c>
      <c r="D7" s="21" t="s">
        <v>142</v>
      </c>
      <c r="E7" s="21" t="s">
        <v>89</v>
      </c>
      <c r="F7" s="21" t="s">
        <v>106</v>
      </c>
      <c r="G7" s="21" t="s">
        <v>131</v>
      </c>
      <c r="H7" s="21" t="s">
        <v>108</v>
      </c>
      <c r="I7" s="21"/>
      <c r="J7" s="21" t="s">
        <v>132</v>
      </c>
      <c r="K7" s="21" t="s">
        <v>93</v>
      </c>
      <c r="L7" s="21"/>
      <c r="M7" s="23" t="s">
        <v>143</v>
      </c>
      <c r="N7" s="21" t="s">
        <v>111</v>
      </c>
      <c r="O7" s="21" t="s">
        <v>144</v>
      </c>
      <c r="P7" s="21"/>
      <c r="Q7" s="21"/>
      <c r="R7" s="21"/>
      <c r="S7" s="21">
        <v>5</v>
      </c>
      <c r="T7" s="21" t="s">
        <v>145</v>
      </c>
      <c r="U7" s="21"/>
      <c r="V7" s="14" t="s">
        <v>97</v>
      </c>
      <c r="W7" s="17">
        <v>0.3</v>
      </c>
      <c r="X7" s="17">
        <v>0.4</v>
      </c>
      <c r="Y7" s="17">
        <v>0.65</v>
      </c>
      <c r="Z7" s="17">
        <v>0.55000000000000004</v>
      </c>
      <c r="AA7" s="18" t="b">
        <f>FALSE()</f>
        <v>0</v>
      </c>
      <c r="AB7" s="18" t="s">
        <v>98</v>
      </c>
      <c r="AC7" s="19">
        <v>0.312</v>
      </c>
      <c r="AD7" s="19">
        <v>0.625</v>
      </c>
      <c r="AE7" s="19">
        <v>0</v>
      </c>
      <c r="AF7" s="19">
        <v>6.2E-2</v>
      </c>
      <c r="AG7" s="19">
        <v>0</v>
      </c>
      <c r="AH7" s="19">
        <v>0</v>
      </c>
      <c r="AI7" s="19">
        <v>0</v>
      </c>
      <c r="AJ7" s="19">
        <v>0</v>
      </c>
      <c r="AK7" s="18" t="s">
        <v>89</v>
      </c>
      <c r="BF7" t="s">
        <v>99</v>
      </c>
      <c r="BH7" t="s">
        <v>100</v>
      </c>
      <c r="BI7" t="s">
        <v>101</v>
      </c>
    </row>
    <row r="8" spans="1:62" ht="30" customHeight="1" x14ac:dyDescent="0.2">
      <c r="A8" s="13" t="s">
        <v>146</v>
      </c>
      <c r="B8" s="14" t="s">
        <v>147</v>
      </c>
      <c r="C8" s="15" t="s">
        <v>148</v>
      </c>
      <c r="D8" s="14" t="s">
        <v>149</v>
      </c>
      <c r="E8" s="14" t="s">
        <v>89</v>
      </c>
      <c r="F8" s="14" t="s">
        <v>106</v>
      </c>
      <c r="G8" s="14" t="s">
        <v>150</v>
      </c>
      <c r="H8" s="14" t="s">
        <v>108</v>
      </c>
      <c r="I8" s="14"/>
      <c r="J8" s="14" t="s">
        <v>132</v>
      </c>
      <c r="K8" s="14" t="s">
        <v>93</v>
      </c>
      <c r="L8" s="14"/>
      <c r="M8" s="16" t="s">
        <v>151</v>
      </c>
      <c r="N8" s="14" t="s">
        <v>111</v>
      </c>
      <c r="O8" s="14" t="s">
        <v>152</v>
      </c>
      <c r="P8" s="14"/>
      <c r="Q8" s="14" t="s">
        <v>113</v>
      </c>
      <c r="R8" s="14"/>
      <c r="S8" s="14">
        <v>5</v>
      </c>
      <c r="T8" s="14" t="s">
        <v>153</v>
      </c>
      <c r="U8" s="14"/>
      <c r="V8" s="14" t="s">
        <v>97</v>
      </c>
      <c r="W8" s="17">
        <v>0.3</v>
      </c>
      <c r="X8" s="17">
        <v>0.4</v>
      </c>
      <c r="Y8" s="17">
        <v>0.65</v>
      </c>
      <c r="Z8" s="17">
        <v>0.55000000000000004</v>
      </c>
      <c r="AA8" s="18" t="b">
        <f>FALSE()</f>
        <v>0</v>
      </c>
      <c r="AB8" s="18" t="s">
        <v>98</v>
      </c>
      <c r="AC8" s="19">
        <v>0.312</v>
      </c>
      <c r="AD8" s="19">
        <v>0.625</v>
      </c>
      <c r="AE8" s="19">
        <v>0</v>
      </c>
      <c r="AF8" s="19">
        <v>6.2E-2</v>
      </c>
      <c r="AG8" s="19">
        <v>0</v>
      </c>
      <c r="AH8" s="19">
        <v>0</v>
      </c>
      <c r="AI8" s="19">
        <v>0</v>
      </c>
      <c r="AJ8" s="19">
        <v>0</v>
      </c>
      <c r="AK8" s="18" t="s">
        <v>89</v>
      </c>
      <c r="BF8" t="s">
        <v>99</v>
      </c>
      <c r="BH8" t="s">
        <v>100</v>
      </c>
      <c r="BI8" t="s">
        <v>101</v>
      </c>
    </row>
    <row r="9" spans="1:62" ht="30" customHeight="1" x14ac:dyDescent="0.2">
      <c r="A9" s="20" t="s">
        <v>154</v>
      </c>
      <c r="B9" s="21" t="s">
        <v>155</v>
      </c>
      <c r="C9" s="22" t="s">
        <v>156</v>
      </c>
      <c r="D9" s="21" t="s">
        <v>157</v>
      </c>
      <c r="E9" s="21" t="s">
        <v>89</v>
      </c>
      <c r="F9" s="21" t="s">
        <v>106</v>
      </c>
      <c r="G9" s="21" t="s">
        <v>107</v>
      </c>
      <c r="H9" s="21" t="s">
        <v>108</v>
      </c>
      <c r="I9" s="21"/>
      <c r="J9" s="21" t="s">
        <v>109</v>
      </c>
      <c r="K9" s="21" t="s">
        <v>93</v>
      </c>
      <c r="L9" s="21"/>
      <c r="M9" s="23" t="s">
        <v>158</v>
      </c>
      <c r="N9" s="21" t="s">
        <v>111</v>
      </c>
      <c r="O9" s="21" t="s">
        <v>139</v>
      </c>
      <c r="P9" s="21"/>
      <c r="Q9" s="21" t="s">
        <v>159</v>
      </c>
      <c r="R9" s="21"/>
      <c r="S9" s="21">
        <v>5</v>
      </c>
      <c r="T9" s="21" t="s">
        <v>160</v>
      </c>
      <c r="U9" s="21"/>
      <c r="V9" s="14" t="s">
        <v>97</v>
      </c>
      <c r="W9" s="17">
        <v>0.3</v>
      </c>
      <c r="X9" s="17">
        <v>0.4</v>
      </c>
      <c r="Y9" s="17">
        <v>0.65</v>
      </c>
      <c r="Z9" s="17">
        <v>0.55000000000000004</v>
      </c>
      <c r="AA9" s="18" t="b">
        <f>FALSE()</f>
        <v>0</v>
      </c>
      <c r="AB9" s="18" t="s">
        <v>98</v>
      </c>
      <c r="AC9" s="19">
        <v>0.312</v>
      </c>
      <c r="AD9" s="19">
        <v>0.625</v>
      </c>
      <c r="AE9" s="19">
        <v>0</v>
      </c>
      <c r="AF9" s="19">
        <v>6.2E-2</v>
      </c>
      <c r="AG9" s="19">
        <v>0</v>
      </c>
      <c r="AH9" s="19">
        <v>0</v>
      </c>
      <c r="AI9" s="19">
        <v>0</v>
      </c>
      <c r="AJ9" s="19">
        <v>0</v>
      </c>
      <c r="AK9" s="18" t="s">
        <v>89</v>
      </c>
      <c r="BF9" t="s">
        <v>99</v>
      </c>
      <c r="BH9" t="s">
        <v>100</v>
      </c>
      <c r="BI9" t="s">
        <v>101</v>
      </c>
    </row>
    <row r="10" spans="1:62" ht="30" customHeight="1" x14ac:dyDescent="0.2">
      <c r="A10" s="13" t="s">
        <v>161</v>
      </c>
      <c r="B10" s="14" t="s">
        <v>103</v>
      </c>
      <c r="C10" s="15" t="s">
        <v>162</v>
      </c>
      <c r="D10" s="14" t="s">
        <v>163</v>
      </c>
      <c r="E10" s="14" t="s">
        <v>89</v>
      </c>
      <c r="F10" s="14" t="s">
        <v>106</v>
      </c>
      <c r="G10" s="14" t="s">
        <v>107</v>
      </c>
      <c r="H10" s="14" t="s">
        <v>108</v>
      </c>
      <c r="I10" s="14"/>
      <c r="J10" s="14" t="s">
        <v>109</v>
      </c>
      <c r="K10" s="14" t="s">
        <v>93</v>
      </c>
      <c r="L10" s="14"/>
      <c r="M10" s="16" t="s">
        <v>164</v>
      </c>
      <c r="N10" s="14" t="s">
        <v>111</v>
      </c>
      <c r="O10" s="14" t="s">
        <v>165</v>
      </c>
      <c r="P10" s="14"/>
      <c r="Q10" s="21" t="s">
        <v>159</v>
      </c>
      <c r="R10" s="21"/>
      <c r="S10" s="14">
        <v>3</v>
      </c>
      <c r="T10" s="14"/>
      <c r="U10" s="14"/>
      <c r="V10" s="14" t="s">
        <v>97</v>
      </c>
      <c r="W10" s="17">
        <v>0.3</v>
      </c>
      <c r="X10" s="17">
        <v>0.4</v>
      </c>
      <c r="Y10" s="17">
        <v>0.65</v>
      </c>
      <c r="Z10" s="17">
        <v>0.55000000000000004</v>
      </c>
      <c r="AA10" s="18" t="b">
        <f>FALSE()</f>
        <v>0</v>
      </c>
      <c r="AB10" s="18" t="s">
        <v>98</v>
      </c>
      <c r="AC10" s="19">
        <v>0.312</v>
      </c>
      <c r="AD10" s="19">
        <v>0.625</v>
      </c>
      <c r="AE10" s="19">
        <v>0</v>
      </c>
      <c r="AF10" s="19">
        <v>6.2E-2</v>
      </c>
      <c r="AG10" s="19">
        <v>0</v>
      </c>
      <c r="AH10" s="19">
        <v>0</v>
      </c>
      <c r="AI10" s="19">
        <v>0</v>
      </c>
      <c r="AJ10" s="19">
        <v>0</v>
      </c>
      <c r="AK10" s="18" t="s">
        <v>89</v>
      </c>
      <c r="BF10" t="s">
        <v>99</v>
      </c>
      <c r="BH10" t="s">
        <v>100</v>
      </c>
      <c r="BI10" t="s">
        <v>101</v>
      </c>
    </row>
    <row r="11" spans="1:62" ht="30" customHeight="1" x14ac:dyDescent="0.2">
      <c r="A11" s="20" t="s">
        <v>166</v>
      </c>
      <c r="B11" s="21" t="s">
        <v>128</v>
      </c>
      <c r="C11" s="22" t="s">
        <v>167</v>
      </c>
      <c r="D11" s="21" t="s">
        <v>168</v>
      </c>
      <c r="E11" s="21" t="s">
        <v>89</v>
      </c>
      <c r="F11" s="21" t="s">
        <v>106</v>
      </c>
      <c r="G11" s="21" t="s">
        <v>131</v>
      </c>
      <c r="H11" s="21" t="s">
        <v>108</v>
      </c>
      <c r="I11" s="21"/>
      <c r="J11" s="21" t="s">
        <v>132</v>
      </c>
      <c r="K11" s="21" t="s">
        <v>93</v>
      </c>
      <c r="L11" s="21"/>
      <c r="M11" s="23" t="s">
        <v>169</v>
      </c>
      <c r="N11" s="21" t="s">
        <v>111</v>
      </c>
      <c r="O11" s="21" t="s">
        <v>170</v>
      </c>
      <c r="P11" s="21"/>
      <c r="Q11" s="21" t="s">
        <v>113</v>
      </c>
      <c r="R11" s="21"/>
      <c r="S11" s="21">
        <v>3</v>
      </c>
      <c r="T11" s="21" t="s">
        <v>171</v>
      </c>
      <c r="U11" s="21"/>
      <c r="V11" s="14" t="s">
        <v>97</v>
      </c>
      <c r="W11" s="17">
        <v>0.3</v>
      </c>
      <c r="X11" s="17">
        <v>0.4</v>
      </c>
      <c r="Y11" s="17">
        <v>0.65</v>
      </c>
      <c r="Z11" s="17">
        <v>0.55000000000000004</v>
      </c>
      <c r="AA11" s="18" t="b">
        <f>FALSE()</f>
        <v>0</v>
      </c>
      <c r="AB11" s="18" t="s">
        <v>98</v>
      </c>
      <c r="AC11" s="19">
        <v>0.312</v>
      </c>
      <c r="AD11" s="19">
        <v>0.625</v>
      </c>
      <c r="AE11" s="19">
        <v>0</v>
      </c>
      <c r="AF11" s="19">
        <v>6.2E-2</v>
      </c>
      <c r="AG11" s="19">
        <v>0</v>
      </c>
      <c r="AH11" s="19">
        <v>0</v>
      </c>
      <c r="AI11" s="19">
        <v>0</v>
      </c>
      <c r="AJ11" s="19">
        <v>0</v>
      </c>
      <c r="AK11" s="18" t="s">
        <v>89</v>
      </c>
      <c r="BF11" t="s">
        <v>99</v>
      </c>
      <c r="BH11" t="s">
        <v>100</v>
      </c>
      <c r="BI11" t="s">
        <v>101</v>
      </c>
    </row>
    <row r="12" spans="1:62" ht="30" customHeight="1" x14ac:dyDescent="0.2">
      <c r="A12" s="13" t="s">
        <v>172</v>
      </c>
      <c r="B12" s="14" t="s">
        <v>103</v>
      </c>
      <c r="C12" s="15" t="s">
        <v>173</v>
      </c>
      <c r="D12" s="14" t="s">
        <v>174</v>
      </c>
      <c r="E12" s="14" t="s">
        <v>89</v>
      </c>
      <c r="F12" s="14" t="s">
        <v>106</v>
      </c>
      <c r="G12" s="14" t="s">
        <v>107</v>
      </c>
      <c r="H12" s="14" t="s">
        <v>108</v>
      </c>
      <c r="I12" s="14"/>
      <c r="J12" s="14" t="s">
        <v>109</v>
      </c>
      <c r="K12" s="14" t="s">
        <v>93</v>
      </c>
      <c r="L12" s="14"/>
      <c r="M12" s="16" t="s">
        <v>175</v>
      </c>
      <c r="N12" s="14" t="s">
        <v>111</v>
      </c>
      <c r="O12" s="14" t="s">
        <v>176</v>
      </c>
      <c r="P12" s="14"/>
      <c r="Q12" s="14"/>
      <c r="R12" s="14"/>
      <c r="S12" s="14">
        <v>4</v>
      </c>
      <c r="T12" s="14" t="s">
        <v>177</v>
      </c>
      <c r="U12" s="14"/>
      <c r="V12" s="14" t="s">
        <v>97</v>
      </c>
      <c r="W12" s="17">
        <v>0.3</v>
      </c>
      <c r="X12" s="17">
        <v>0.4</v>
      </c>
      <c r="Y12" s="17">
        <v>0.65</v>
      </c>
      <c r="Z12" s="17">
        <v>0.55000000000000004</v>
      </c>
      <c r="AA12" s="18" t="b">
        <f>FALSE()</f>
        <v>0</v>
      </c>
      <c r="AB12" s="18" t="s">
        <v>98</v>
      </c>
      <c r="AC12" s="19">
        <v>0.312</v>
      </c>
      <c r="AD12" s="19">
        <v>0.625</v>
      </c>
      <c r="AE12" s="19">
        <v>0</v>
      </c>
      <c r="AF12" s="19">
        <v>6.2E-2</v>
      </c>
      <c r="AG12" s="19">
        <v>0</v>
      </c>
      <c r="AH12" s="19">
        <v>0</v>
      </c>
      <c r="AI12" s="19">
        <v>0</v>
      </c>
      <c r="AJ12" s="19">
        <v>0</v>
      </c>
      <c r="AK12" s="18" t="s">
        <v>89</v>
      </c>
      <c r="BF12" t="s">
        <v>99</v>
      </c>
      <c r="BH12" t="s">
        <v>100</v>
      </c>
      <c r="BI12" t="s">
        <v>101</v>
      </c>
    </row>
    <row r="13" spans="1:62" ht="30" customHeight="1" x14ac:dyDescent="0.2">
      <c r="A13" s="20" t="s">
        <v>178</v>
      </c>
      <c r="B13" s="21" t="s">
        <v>179</v>
      </c>
      <c r="C13" s="22" t="s">
        <v>180</v>
      </c>
      <c r="D13" s="21" t="s">
        <v>181</v>
      </c>
      <c r="E13" s="21" t="s">
        <v>89</v>
      </c>
      <c r="F13" s="21" t="s">
        <v>106</v>
      </c>
      <c r="G13" s="21" t="s">
        <v>131</v>
      </c>
      <c r="H13" s="21" t="s">
        <v>108</v>
      </c>
      <c r="I13" s="21"/>
      <c r="J13" s="21" t="s">
        <v>132</v>
      </c>
      <c r="K13" s="21" t="s">
        <v>93</v>
      </c>
      <c r="L13" s="21"/>
      <c r="M13" s="23" t="s">
        <v>182</v>
      </c>
      <c r="N13" s="21" t="s">
        <v>111</v>
      </c>
      <c r="O13" s="21" t="s">
        <v>183</v>
      </c>
      <c r="P13" s="21"/>
      <c r="Q13" s="21" t="s">
        <v>113</v>
      </c>
      <c r="R13" s="21"/>
      <c r="S13" s="21">
        <v>5</v>
      </c>
      <c r="T13" s="21" t="s">
        <v>184</v>
      </c>
      <c r="U13" s="21"/>
      <c r="V13" s="14" t="s">
        <v>97</v>
      </c>
      <c r="W13" s="17">
        <v>0.3</v>
      </c>
      <c r="X13" s="17">
        <v>0.4</v>
      </c>
      <c r="Y13" s="17">
        <v>0.65</v>
      </c>
      <c r="Z13" s="17">
        <v>0.55000000000000004</v>
      </c>
      <c r="AA13" s="18" t="b">
        <f>FALSE()</f>
        <v>0</v>
      </c>
      <c r="AB13" s="18" t="s">
        <v>98</v>
      </c>
      <c r="AC13" s="19">
        <v>0.312</v>
      </c>
      <c r="AD13" s="19">
        <v>0.625</v>
      </c>
      <c r="AE13" s="19">
        <v>0</v>
      </c>
      <c r="AF13" s="19">
        <v>6.2E-2</v>
      </c>
      <c r="AG13" s="19">
        <v>0</v>
      </c>
      <c r="AH13" s="19">
        <v>0</v>
      </c>
      <c r="AI13" s="19">
        <v>0</v>
      </c>
      <c r="AJ13" s="19">
        <v>0</v>
      </c>
      <c r="AK13" s="18" t="s">
        <v>89</v>
      </c>
      <c r="BF13" t="s">
        <v>99</v>
      </c>
      <c r="BH13" t="s">
        <v>100</v>
      </c>
      <c r="BI13" t="s">
        <v>101</v>
      </c>
    </row>
    <row r="14" spans="1:62" ht="30" customHeight="1" x14ac:dyDescent="0.2">
      <c r="A14" s="13" t="s">
        <v>185</v>
      </c>
      <c r="B14" s="14" t="s">
        <v>186</v>
      </c>
      <c r="C14" s="15" t="s">
        <v>187</v>
      </c>
      <c r="D14" s="14" t="s">
        <v>188</v>
      </c>
      <c r="E14" s="14" t="s">
        <v>89</v>
      </c>
      <c r="F14" s="14" t="s">
        <v>189</v>
      </c>
      <c r="G14" s="14" t="s">
        <v>107</v>
      </c>
      <c r="H14" s="14" t="s">
        <v>108</v>
      </c>
      <c r="I14" s="14"/>
      <c r="J14" s="14" t="s">
        <v>109</v>
      </c>
      <c r="K14" s="14" t="s">
        <v>190</v>
      </c>
      <c r="L14" s="14"/>
      <c r="M14" s="16" t="s">
        <v>191</v>
      </c>
      <c r="N14" s="14" t="s">
        <v>192</v>
      </c>
      <c r="O14" s="14"/>
      <c r="P14" s="14"/>
      <c r="Q14" s="14"/>
      <c r="R14" s="14"/>
      <c r="S14" s="14">
        <v>2</v>
      </c>
      <c r="T14" s="14"/>
      <c r="U14" s="14"/>
      <c r="V14" s="14" t="s">
        <v>97</v>
      </c>
      <c r="W14" s="17">
        <v>0.45</v>
      </c>
      <c r="X14" s="17">
        <v>0.48</v>
      </c>
      <c r="Y14" s="17">
        <v>0.42</v>
      </c>
      <c r="Z14" s="17">
        <v>0.5</v>
      </c>
      <c r="AA14" s="18" t="b">
        <f>FALSE()</f>
        <v>0</v>
      </c>
      <c r="AB14" s="18" t="s">
        <v>98</v>
      </c>
      <c r="AC14" s="19">
        <v>0</v>
      </c>
      <c r="AD14" s="19">
        <v>0</v>
      </c>
      <c r="AE14" s="19">
        <v>0.107</v>
      </c>
      <c r="AF14" s="19">
        <v>0.14299999999999999</v>
      </c>
      <c r="AG14" s="19">
        <v>0</v>
      </c>
      <c r="AH14" s="19">
        <v>0.67900000000000005</v>
      </c>
      <c r="AI14" s="19">
        <v>7.0999999999999994E-2</v>
      </c>
      <c r="AJ14" s="19">
        <v>0</v>
      </c>
      <c r="AK14" s="18" t="s">
        <v>193</v>
      </c>
      <c r="BF14" t="s">
        <v>99</v>
      </c>
      <c r="BH14" t="s">
        <v>100</v>
      </c>
      <c r="BI14" t="s">
        <v>101</v>
      </c>
    </row>
    <row r="15" spans="1:62" ht="30" customHeight="1" x14ac:dyDescent="0.2">
      <c r="A15" s="20" t="s">
        <v>194</v>
      </c>
      <c r="B15" s="21" t="s">
        <v>195</v>
      </c>
      <c r="C15" s="22" t="s">
        <v>104</v>
      </c>
      <c r="D15" s="21" t="s">
        <v>196</v>
      </c>
      <c r="E15" s="21" t="s">
        <v>89</v>
      </c>
      <c r="F15" s="21" t="s">
        <v>197</v>
      </c>
      <c r="G15" s="21" t="s">
        <v>107</v>
      </c>
      <c r="H15" s="21" t="s">
        <v>108</v>
      </c>
      <c r="I15" s="21"/>
      <c r="J15" s="21" t="s">
        <v>109</v>
      </c>
      <c r="K15" s="21" t="s">
        <v>93</v>
      </c>
      <c r="L15" s="21"/>
      <c r="M15" s="23" t="s">
        <v>198</v>
      </c>
      <c r="N15" s="21" t="s">
        <v>199</v>
      </c>
      <c r="O15" s="21" t="s">
        <v>200</v>
      </c>
      <c r="P15" s="21"/>
      <c r="Q15" s="21"/>
      <c r="R15" s="21"/>
      <c r="S15" s="21">
        <v>3</v>
      </c>
      <c r="T15" s="21"/>
      <c r="U15" s="21"/>
      <c r="V15" s="14" t="s">
        <v>97</v>
      </c>
      <c r="W15" s="17">
        <v>0.62</v>
      </c>
      <c r="X15" s="17">
        <v>0.5</v>
      </c>
      <c r="Y15" s="17">
        <v>0.42</v>
      </c>
      <c r="Z15" s="17">
        <v>0.68</v>
      </c>
      <c r="AA15" s="18" t="b">
        <f>FALSE()</f>
        <v>0</v>
      </c>
      <c r="AB15" s="18" t="s">
        <v>98</v>
      </c>
      <c r="AC15" s="19">
        <v>0.19600000000000001</v>
      </c>
      <c r="AD15" s="19">
        <v>0.39100000000000001</v>
      </c>
      <c r="AE15" s="19">
        <v>4.2999999999999997E-2</v>
      </c>
      <c r="AF15" s="19">
        <v>6.5000000000000002E-2</v>
      </c>
      <c r="AG15" s="19">
        <v>4.2999999999999997E-2</v>
      </c>
      <c r="AH15" s="19">
        <v>0.26100000000000001</v>
      </c>
      <c r="AI15" s="19">
        <v>0</v>
      </c>
      <c r="AJ15" s="19">
        <v>0</v>
      </c>
      <c r="AK15" s="18" t="s">
        <v>89</v>
      </c>
      <c r="BF15" t="s">
        <v>99</v>
      </c>
      <c r="BH15" t="s">
        <v>100</v>
      </c>
      <c r="BI15" t="s">
        <v>101</v>
      </c>
    </row>
    <row r="16" spans="1:62" ht="30" customHeight="1" x14ac:dyDescent="0.2">
      <c r="A16" s="13" t="s">
        <v>201</v>
      </c>
      <c r="B16" s="14" t="s">
        <v>202</v>
      </c>
      <c r="C16" s="15" t="s">
        <v>129</v>
      </c>
      <c r="D16" s="14" t="s">
        <v>203</v>
      </c>
      <c r="E16" s="14" t="s">
        <v>89</v>
      </c>
      <c r="F16" s="14" t="s">
        <v>197</v>
      </c>
      <c r="G16" s="14" t="s">
        <v>131</v>
      </c>
      <c r="H16" s="14" t="s">
        <v>108</v>
      </c>
      <c r="I16" s="14"/>
      <c r="J16" s="14" t="s">
        <v>132</v>
      </c>
      <c r="K16" s="14" t="s">
        <v>204</v>
      </c>
      <c r="L16" s="14"/>
      <c r="M16" s="16" t="s">
        <v>205</v>
      </c>
      <c r="N16" s="14" t="s">
        <v>199</v>
      </c>
      <c r="O16" s="14" t="s">
        <v>206</v>
      </c>
      <c r="P16" s="14"/>
      <c r="Q16" s="14" t="s">
        <v>113</v>
      </c>
      <c r="R16" s="14"/>
      <c r="S16" s="14">
        <v>5</v>
      </c>
      <c r="T16" s="14" t="s">
        <v>207</v>
      </c>
      <c r="U16" s="14"/>
      <c r="V16" s="14" t="s">
        <v>97</v>
      </c>
      <c r="W16" s="17">
        <v>0.67</v>
      </c>
      <c r="X16" s="17">
        <v>0.55000000000000004</v>
      </c>
      <c r="Y16" s="17">
        <v>0.32</v>
      </c>
      <c r="Z16" s="17">
        <v>0.73</v>
      </c>
      <c r="AA16" s="18" t="b">
        <f>FALSE()</f>
        <v>0</v>
      </c>
      <c r="AB16" s="18" t="s">
        <v>98</v>
      </c>
      <c r="AC16" s="19">
        <v>0</v>
      </c>
      <c r="AD16" s="19">
        <v>0</v>
      </c>
      <c r="AE16" s="19">
        <v>0.125</v>
      </c>
      <c r="AF16" s="19">
        <v>0</v>
      </c>
      <c r="AG16" s="19">
        <v>0.125</v>
      </c>
      <c r="AH16" s="19">
        <v>0.75</v>
      </c>
      <c r="AI16" s="19">
        <v>0</v>
      </c>
      <c r="AJ16" s="19">
        <v>0</v>
      </c>
      <c r="AK16" s="18" t="s">
        <v>193</v>
      </c>
      <c r="BF16" t="s">
        <v>99</v>
      </c>
      <c r="BH16" t="s">
        <v>100</v>
      </c>
      <c r="BI16" t="s">
        <v>101</v>
      </c>
    </row>
    <row r="17" spans="1:61" ht="30" customHeight="1" x14ac:dyDescent="0.2">
      <c r="A17" s="20" t="s">
        <v>208</v>
      </c>
      <c r="B17" s="21" t="s">
        <v>209</v>
      </c>
      <c r="C17" s="22" t="s">
        <v>148</v>
      </c>
      <c r="D17" s="21" t="s">
        <v>210</v>
      </c>
      <c r="E17" s="21" t="s">
        <v>89</v>
      </c>
      <c r="F17" s="21" t="s">
        <v>90</v>
      </c>
      <c r="G17" s="21" t="s">
        <v>90</v>
      </c>
      <c r="H17" s="21" t="s">
        <v>121</v>
      </c>
      <c r="I17" s="21"/>
      <c r="J17" s="21" t="s">
        <v>211</v>
      </c>
      <c r="K17" s="21" t="s">
        <v>93</v>
      </c>
      <c r="L17" s="21"/>
      <c r="M17" s="23" t="s">
        <v>212</v>
      </c>
      <c r="N17" s="21" t="s">
        <v>95</v>
      </c>
      <c r="O17" s="21" t="s">
        <v>213</v>
      </c>
      <c r="P17" s="21" t="s">
        <v>214</v>
      </c>
      <c r="Q17" s="21"/>
      <c r="R17" s="21"/>
      <c r="S17" s="21">
        <v>3</v>
      </c>
      <c r="T17" s="21"/>
      <c r="U17" s="21"/>
      <c r="V17" s="14" t="s">
        <v>97</v>
      </c>
      <c r="W17" s="17">
        <v>0.1</v>
      </c>
      <c r="X17" s="17">
        <v>0.1</v>
      </c>
      <c r="Y17" s="17">
        <v>0.2</v>
      </c>
      <c r="Z17" s="17">
        <v>0.5</v>
      </c>
      <c r="AA17" s="18" t="b">
        <f>FALSE()</f>
        <v>0</v>
      </c>
      <c r="AB17" s="18" t="s">
        <v>98</v>
      </c>
      <c r="AC17" s="19">
        <v>0.23899999999999999</v>
      </c>
      <c r="AD17" s="19">
        <v>0.435</v>
      </c>
      <c r="AE17" s="19">
        <v>4.2999999999999997E-2</v>
      </c>
      <c r="AF17" s="19">
        <v>0.109</v>
      </c>
      <c r="AG17" s="19">
        <v>4.2999999999999997E-2</v>
      </c>
      <c r="AH17" s="19">
        <v>4.2999999999999997E-2</v>
      </c>
      <c r="AI17" s="19">
        <v>4.2999999999999997E-2</v>
      </c>
      <c r="AJ17" s="19">
        <v>4.2999999999999997E-2</v>
      </c>
      <c r="AK17" s="18" t="s">
        <v>89</v>
      </c>
      <c r="BF17" t="s">
        <v>99</v>
      </c>
      <c r="BH17" t="s">
        <v>100</v>
      </c>
      <c r="BI17" t="s">
        <v>101</v>
      </c>
    </row>
    <row r="18" spans="1:61" ht="30" customHeight="1" x14ac:dyDescent="0.2">
      <c r="A18" s="13" t="s">
        <v>215</v>
      </c>
      <c r="B18" s="14" t="s">
        <v>216</v>
      </c>
      <c r="C18" s="15" t="s">
        <v>148</v>
      </c>
      <c r="D18" s="14" t="s">
        <v>217</v>
      </c>
      <c r="E18" s="14" t="s">
        <v>89</v>
      </c>
      <c r="F18" s="14" t="s">
        <v>119</v>
      </c>
      <c r="G18" s="14" t="s">
        <v>120</v>
      </c>
      <c r="H18" s="14" t="s">
        <v>121</v>
      </c>
      <c r="I18" s="14"/>
      <c r="J18" s="14" t="s">
        <v>122</v>
      </c>
      <c r="K18" s="14" t="s">
        <v>93</v>
      </c>
      <c r="L18" s="14"/>
      <c r="M18" s="16" t="s">
        <v>218</v>
      </c>
      <c r="N18" s="14" t="s">
        <v>111</v>
      </c>
      <c r="O18" s="14" t="s">
        <v>219</v>
      </c>
      <c r="P18" s="14"/>
      <c r="Q18" s="14" t="s">
        <v>113</v>
      </c>
      <c r="R18" s="14"/>
      <c r="S18" s="14">
        <v>4</v>
      </c>
      <c r="T18" s="14" t="s">
        <v>220</v>
      </c>
      <c r="U18" s="14" t="s">
        <v>2140</v>
      </c>
      <c r="V18" s="14" t="s">
        <v>97</v>
      </c>
      <c r="W18" s="17">
        <v>0.81</v>
      </c>
      <c r="X18" s="17">
        <v>0.75</v>
      </c>
      <c r="Y18" s="17">
        <v>0.42</v>
      </c>
      <c r="Z18" s="17">
        <v>0.8</v>
      </c>
      <c r="AA18" s="18" t="b">
        <f>FALSE()</f>
        <v>0</v>
      </c>
      <c r="AB18" s="18" t="s">
        <v>126</v>
      </c>
      <c r="AC18" s="19">
        <v>0.23899999999999999</v>
      </c>
      <c r="AD18" s="19">
        <v>0.435</v>
      </c>
      <c r="AE18" s="19">
        <v>4.2999999999999997E-2</v>
      </c>
      <c r="AF18" s="19">
        <v>0.109</v>
      </c>
      <c r="AG18" s="19">
        <v>4.2999999999999997E-2</v>
      </c>
      <c r="AH18" s="19">
        <v>4.2999999999999997E-2</v>
      </c>
      <c r="AI18" s="19">
        <v>4.2999999999999997E-2</v>
      </c>
      <c r="AJ18" s="19">
        <v>4.2999999999999997E-2</v>
      </c>
      <c r="AK18" s="18" t="s">
        <v>89</v>
      </c>
      <c r="BF18" t="s">
        <v>99</v>
      </c>
      <c r="BH18" t="s">
        <v>100</v>
      </c>
      <c r="BI18" t="s">
        <v>101</v>
      </c>
    </row>
    <row r="19" spans="1:61" ht="30" customHeight="1" x14ac:dyDescent="0.2">
      <c r="A19" s="20" t="s">
        <v>221</v>
      </c>
      <c r="B19" s="21" t="s">
        <v>222</v>
      </c>
      <c r="C19" s="22" t="s">
        <v>167</v>
      </c>
      <c r="D19" s="21" t="s">
        <v>223</v>
      </c>
      <c r="E19" s="21" t="s">
        <v>89</v>
      </c>
      <c r="F19" s="21" t="s">
        <v>106</v>
      </c>
      <c r="G19" s="21" t="s">
        <v>224</v>
      </c>
      <c r="H19" s="21" t="s">
        <v>121</v>
      </c>
      <c r="I19" s="21"/>
      <c r="J19" s="21" t="s">
        <v>122</v>
      </c>
      <c r="K19" s="21" t="s">
        <v>93</v>
      </c>
      <c r="L19" s="21"/>
      <c r="M19" s="23" t="s">
        <v>225</v>
      </c>
      <c r="N19" s="21" t="s">
        <v>111</v>
      </c>
      <c r="O19" s="21" t="s">
        <v>226</v>
      </c>
      <c r="P19" s="21"/>
      <c r="Q19" s="21" t="s">
        <v>113</v>
      </c>
      <c r="R19" s="21"/>
      <c r="S19" s="21">
        <v>3</v>
      </c>
      <c r="T19" s="21" t="s">
        <v>227</v>
      </c>
      <c r="U19" s="21"/>
      <c r="V19" s="14" t="s">
        <v>97</v>
      </c>
      <c r="W19" s="17">
        <v>0.3</v>
      </c>
      <c r="X19" s="17">
        <v>0.45</v>
      </c>
      <c r="Y19" s="17">
        <v>0.7</v>
      </c>
      <c r="Z19" s="17">
        <v>0.55000000000000004</v>
      </c>
      <c r="AA19" s="18" t="b">
        <f>FALSE()</f>
        <v>0</v>
      </c>
      <c r="AB19" s="18" t="s">
        <v>126</v>
      </c>
      <c r="AC19" s="19">
        <v>0.312</v>
      </c>
      <c r="AD19" s="19">
        <v>0.625</v>
      </c>
      <c r="AE19" s="19">
        <v>0</v>
      </c>
      <c r="AF19" s="19">
        <v>6.2E-2</v>
      </c>
      <c r="AG19" s="19">
        <v>0</v>
      </c>
      <c r="AH19" s="19">
        <v>0</v>
      </c>
      <c r="AI19" s="19">
        <v>0</v>
      </c>
      <c r="AJ19" s="19">
        <v>0</v>
      </c>
      <c r="AK19" s="18" t="s">
        <v>89</v>
      </c>
      <c r="BF19" t="s">
        <v>99</v>
      </c>
      <c r="BH19" t="s">
        <v>100</v>
      </c>
      <c r="BI19" t="s">
        <v>101</v>
      </c>
    </row>
    <row r="20" spans="1:61" ht="30" customHeight="1" x14ac:dyDescent="0.2">
      <c r="A20" s="13" t="s">
        <v>228</v>
      </c>
      <c r="B20" s="14" t="s">
        <v>229</v>
      </c>
      <c r="C20" s="15" t="s">
        <v>156</v>
      </c>
      <c r="D20" s="14" t="s">
        <v>230</v>
      </c>
      <c r="E20" s="14" t="s">
        <v>231</v>
      </c>
      <c r="F20" s="14" t="s">
        <v>232</v>
      </c>
      <c r="G20" s="14" t="s">
        <v>107</v>
      </c>
      <c r="H20" s="14" t="s">
        <v>91</v>
      </c>
      <c r="I20" s="14"/>
      <c r="J20" s="14" t="s">
        <v>132</v>
      </c>
      <c r="K20" s="14" t="s">
        <v>233</v>
      </c>
      <c r="L20" s="14"/>
      <c r="M20" s="16" t="s">
        <v>234</v>
      </c>
      <c r="N20" s="14" t="s">
        <v>235</v>
      </c>
      <c r="O20" s="14" t="s">
        <v>206</v>
      </c>
      <c r="P20" s="14"/>
      <c r="Q20" s="14" t="s">
        <v>113</v>
      </c>
      <c r="R20" s="14"/>
      <c r="S20" s="14">
        <v>4</v>
      </c>
      <c r="T20" s="14"/>
      <c r="U20" s="14"/>
      <c r="V20" s="14" t="s">
        <v>97</v>
      </c>
      <c r="W20" s="17">
        <v>0.4</v>
      </c>
      <c r="X20" s="17">
        <v>0.35</v>
      </c>
      <c r="Y20" s="17">
        <v>0.55000000000000004</v>
      </c>
      <c r="Z20" s="17">
        <v>0.15</v>
      </c>
      <c r="AA20" s="18" t="b">
        <f>FALSE()</f>
        <v>0</v>
      </c>
      <c r="AB20" s="18" t="s">
        <v>98</v>
      </c>
      <c r="AC20" s="19">
        <v>0</v>
      </c>
      <c r="AD20" s="19">
        <v>0</v>
      </c>
      <c r="AE20" s="19">
        <v>0</v>
      </c>
      <c r="AF20" s="19">
        <v>0</v>
      </c>
      <c r="AG20" s="19">
        <v>0</v>
      </c>
      <c r="AH20" s="19">
        <v>0.57099999999999995</v>
      </c>
      <c r="AI20" s="19">
        <v>0.42899999999999999</v>
      </c>
      <c r="AJ20" s="19">
        <v>0</v>
      </c>
      <c r="AK20" s="18" t="s">
        <v>193</v>
      </c>
      <c r="BF20" t="s">
        <v>99</v>
      </c>
      <c r="BH20" t="s">
        <v>100</v>
      </c>
      <c r="BI20" t="s">
        <v>101</v>
      </c>
    </row>
    <row r="21" spans="1:61" ht="30" customHeight="1" x14ac:dyDescent="0.2">
      <c r="A21" s="25" t="s">
        <v>1429</v>
      </c>
      <c r="B21" s="14" t="s">
        <v>1430</v>
      </c>
      <c r="C21" s="15">
        <v>1849</v>
      </c>
      <c r="D21" s="14" t="s">
        <v>1431</v>
      </c>
      <c r="E21" s="14" t="s">
        <v>231</v>
      </c>
      <c r="F21" s="14" t="s">
        <v>253</v>
      </c>
      <c r="G21" s="14" t="s">
        <v>403</v>
      </c>
      <c r="H21" s="14" t="s">
        <v>91</v>
      </c>
      <c r="I21" s="14"/>
      <c r="J21" s="14" t="s">
        <v>474</v>
      </c>
      <c r="K21" s="14" t="s">
        <v>330</v>
      </c>
      <c r="L21" s="14"/>
      <c r="M21" s="16" t="s">
        <v>1432</v>
      </c>
      <c r="N21" s="14" t="s">
        <v>256</v>
      </c>
      <c r="O21" s="14" t="s">
        <v>1407</v>
      </c>
      <c r="P21" s="14"/>
      <c r="Q21" s="14"/>
      <c r="R21" s="14"/>
      <c r="S21" s="14">
        <v>2</v>
      </c>
      <c r="T21" s="14" t="s">
        <v>1433</v>
      </c>
      <c r="U21" s="14"/>
      <c r="V21" s="14" t="s">
        <v>341</v>
      </c>
      <c r="W21" s="17">
        <v>0.65</v>
      </c>
      <c r="X21" s="17">
        <v>0.4</v>
      </c>
      <c r="Y21" s="17">
        <v>0.1</v>
      </c>
      <c r="Z21" s="17">
        <v>0.75</v>
      </c>
      <c r="AA21" s="18" t="b">
        <f>TRUE()</f>
        <v>1</v>
      </c>
      <c r="AB21" s="18" t="s">
        <v>246</v>
      </c>
      <c r="AC21" s="19">
        <v>8.7999999999999995E-2</v>
      </c>
      <c r="AD21" s="19">
        <v>8.7999999999999995E-2</v>
      </c>
      <c r="AE21" s="19">
        <v>0.26500000000000001</v>
      </c>
      <c r="AF21" s="19">
        <v>8.7999999999999995E-2</v>
      </c>
      <c r="AG21" s="19">
        <v>8.7999999999999995E-2</v>
      </c>
      <c r="AH21" s="19">
        <v>0.20599999999999999</v>
      </c>
      <c r="AI21" s="19">
        <v>8.7999999999999995E-2</v>
      </c>
      <c r="AJ21" s="19">
        <v>8.7999999999999995E-2</v>
      </c>
      <c r="AK21" s="18" t="s">
        <v>342</v>
      </c>
      <c r="BF21" t="s">
        <v>99</v>
      </c>
      <c r="BH21" t="s">
        <v>334</v>
      </c>
      <c r="BI21" t="s">
        <v>1434</v>
      </c>
    </row>
    <row r="22" spans="1:61" ht="30" customHeight="1" x14ac:dyDescent="0.2">
      <c r="A22" s="13" t="s">
        <v>251</v>
      </c>
      <c r="B22" s="14" t="s">
        <v>237</v>
      </c>
      <c r="C22" s="15" t="s">
        <v>167</v>
      </c>
      <c r="D22" s="14" t="s">
        <v>252</v>
      </c>
      <c r="E22" s="14" t="s">
        <v>231</v>
      </c>
      <c r="F22" s="14" t="s">
        <v>253</v>
      </c>
      <c r="G22" s="14" t="s">
        <v>131</v>
      </c>
      <c r="H22" s="14" t="s">
        <v>254</v>
      </c>
      <c r="I22" s="14"/>
      <c r="J22" s="14" t="s">
        <v>132</v>
      </c>
      <c r="K22" s="14" t="s">
        <v>233</v>
      </c>
      <c r="L22" s="14"/>
      <c r="M22" s="16" t="s">
        <v>255</v>
      </c>
      <c r="N22" s="14" t="s">
        <v>256</v>
      </c>
      <c r="O22" s="14" t="s">
        <v>257</v>
      </c>
      <c r="P22" s="14"/>
      <c r="Q22" s="14" t="s">
        <v>113</v>
      </c>
      <c r="R22" s="14"/>
      <c r="S22" s="14">
        <v>4</v>
      </c>
      <c r="T22" s="14" t="s">
        <v>258</v>
      </c>
      <c r="U22" s="14"/>
      <c r="V22" s="14" t="s">
        <v>97</v>
      </c>
      <c r="W22" s="17">
        <v>0.6</v>
      </c>
      <c r="X22" s="17">
        <v>0.4</v>
      </c>
      <c r="Y22" s="17">
        <v>0.15</v>
      </c>
      <c r="Z22" s="17">
        <v>0.6</v>
      </c>
      <c r="AA22" s="18" t="b">
        <f>FALSE()</f>
        <v>0</v>
      </c>
      <c r="AB22" s="18" t="s">
        <v>98</v>
      </c>
      <c r="AC22" s="19">
        <v>0</v>
      </c>
      <c r="AD22" s="19">
        <v>0</v>
      </c>
      <c r="AE22" s="19">
        <v>0.19400000000000001</v>
      </c>
      <c r="AF22" s="19">
        <v>0</v>
      </c>
      <c r="AG22" s="19">
        <v>0</v>
      </c>
      <c r="AH22" s="19">
        <v>0.51600000000000001</v>
      </c>
      <c r="AI22" s="19">
        <v>0.28999999999999998</v>
      </c>
      <c r="AJ22" s="19">
        <v>0</v>
      </c>
      <c r="AK22" s="18" t="s">
        <v>193</v>
      </c>
      <c r="BF22" t="s">
        <v>99</v>
      </c>
      <c r="BH22" t="s">
        <v>100</v>
      </c>
      <c r="BI22" t="s">
        <v>101</v>
      </c>
    </row>
    <row r="23" spans="1:61" ht="30" customHeight="1" x14ac:dyDescent="0.2">
      <c r="A23" s="25" t="s">
        <v>1435</v>
      </c>
      <c r="B23" s="14" t="s">
        <v>1436</v>
      </c>
      <c r="C23" s="15">
        <v>1861</v>
      </c>
      <c r="D23" s="14" t="s">
        <v>1437</v>
      </c>
      <c r="E23" s="14" t="s">
        <v>231</v>
      </c>
      <c r="F23" s="14" t="s">
        <v>253</v>
      </c>
      <c r="G23" s="14" t="s">
        <v>403</v>
      </c>
      <c r="H23" s="14" t="s">
        <v>91</v>
      </c>
      <c r="I23" s="14"/>
      <c r="J23" s="14" t="s">
        <v>1438</v>
      </c>
      <c r="K23" s="14" t="s">
        <v>330</v>
      </c>
      <c r="L23" s="14"/>
      <c r="M23" s="16" t="s">
        <v>1439</v>
      </c>
      <c r="N23" s="14" t="s">
        <v>256</v>
      </c>
      <c r="O23" s="14" t="s">
        <v>1407</v>
      </c>
      <c r="P23" s="14"/>
      <c r="Q23" s="14"/>
      <c r="R23" s="14"/>
      <c r="S23" s="14">
        <v>2</v>
      </c>
      <c r="T23" s="14" t="s">
        <v>1440</v>
      </c>
      <c r="U23" s="14"/>
      <c r="V23" s="14" t="s">
        <v>341</v>
      </c>
      <c r="W23" s="17">
        <v>0.65</v>
      </c>
      <c r="X23" s="17">
        <v>0.4</v>
      </c>
      <c r="Y23" s="17">
        <v>0.1</v>
      </c>
      <c r="Z23" s="17">
        <v>0.75</v>
      </c>
      <c r="AA23" s="18" t="b">
        <f>TRUE()</f>
        <v>1</v>
      </c>
      <c r="AB23" s="18" t="s">
        <v>246</v>
      </c>
      <c r="AC23" s="19">
        <v>8.7999999999999995E-2</v>
      </c>
      <c r="AD23" s="19">
        <v>8.7999999999999995E-2</v>
      </c>
      <c r="AE23" s="19">
        <v>0.26500000000000001</v>
      </c>
      <c r="AF23" s="19">
        <v>8.7999999999999995E-2</v>
      </c>
      <c r="AG23" s="19">
        <v>8.7999999999999995E-2</v>
      </c>
      <c r="AH23" s="19">
        <v>0.20599999999999999</v>
      </c>
      <c r="AI23" s="19">
        <v>8.7999999999999995E-2</v>
      </c>
      <c r="AJ23" s="19">
        <v>8.7999999999999995E-2</v>
      </c>
      <c r="AK23" s="18" t="s">
        <v>342</v>
      </c>
      <c r="BF23" t="s">
        <v>99</v>
      </c>
      <c r="BH23" t="s">
        <v>334</v>
      </c>
      <c r="BI23" t="s">
        <v>1441</v>
      </c>
    </row>
    <row r="24" spans="1:61" ht="30" customHeight="1" x14ac:dyDescent="0.2">
      <c r="A24" s="101" t="s">
        <v>1516</v>
      </c>
      <c r="B24" s="25" t="s">
        <v>1517</v>
      </c>
      <c r="C24" s="25">
        <v>1863</v>
      </c>
      <c r="D24" s="25" t="s">
        <v>1518</v>
      </c>
      <c r="E24" s="21" t="s">
        <v>1278</v>
      </c>
      <c r="F24" s="25"/>
      <c r="G24" s="25"/>
      <c r="H24" s="25"/>
      <c r="I24" s="25"/>
      <c r="J24" s="25"/>
      <c r="K24" s="25"/>
      <c r="L24" s="25"/>
      <c r="M24" s="23" t="s">
        <v>1519</v>
      </c>
      <c r="N24" s="25"/>
      <c r="O24" s="25"/>
      <c r="P24" s="25"/>
      <c r="Q24" s="25"/>
      <c r="R24" s="25"/>
      <c r="S24" s="25"/>
      <c r="T24" s="25"/>
      <c r="U24" s="25"/>
      <c r="V24" s="25"/>
      <c r="W24" s="17">
        <v>0.4</v>
      </c>
      <c r="X24" s="17">
        <v>0.4</v>
      </c>
      <c r="Y24" s="17">
        <v>0.35</v>
      </c>
      <c r="Z24" s="17">
        <v>0.5</v>
      </c>
      <c r="AA24" s="18" t="b">
        <f>TRUE()</f>
        <v>1</v>
      </c>
      <c r="AB24" s="18" t="s">
        <v>246</v>
      </c>
      <c r="AC24" s="19">
        <v>0.125</v>
      </c>
      <c r="AD24" s="19">
        <v>0.125</v>
      </c>
      <c r="AE24" s="19">
        <v>0.125</v>
      </c>
      <c r="AF24" s="19">
        <v>0.125</v>
      </c>
      <c r="AG24" s="19">
        <v>0.125</v>
      </c>
      <c r="AH24" s="19">
        <v>0.125</v>
      </c>
      <c r="AI24" s="19">
        <v>0.125</v>
      </c>
      <c r="AJ24" s="19">
        <v>0.125</v>
      </c>
      <c r="AK24" s="18" t="s">
        <v>333</v>
      </c>
      <c r="BF24" t="s">
        <v>99</v>
      </c>
      <c r="BH24" t="s">
        <v>334</v>
      </c>
      <c r="BI24" t="s">
        <v>1520</v>
      </c>
    </row>
    <row r="25" spans="1:61" ht="30" customHeight="1" x14ac:dyDescent="0.2">
      <c r="A25" s="20" t="s">
        <v>273</v>
      </c>
      <c r="B25" s="21" t="s">
        <v>229</v>
      </c>
      <c r="C25" s="22" t="s">
        <v>274</v>
      </c>
      <c r="D25" s="21" t="s">
        <v>275</v>
      </c>
      <c r="E25" s="21" t="s">
        <v>231</v>
      </c>
      <c r="F25" s="21" t="s">
        <v>232</v>
      </c>
      <c r="G25" s="21" t="s">
        <v>107</v>
      </c>
      <c r="H25" s="21" t="s">
        <v>91</v>
      </c>
      <c r="I25" s="21"/>
      <c r="J25" s="21" t="s">
        <v>132</v>
      </c>
      <c r="K25" s="21" t="s">
        <v>233</v>
      </c>
      <c r="L25" s="21"/>
      <c r="M25" s="23" t="s">
        <v>276</v>
      </c>
      <c r="N25" s="21" t="s">
        <v>235</v>
      </c>
      <c r="O25" s="21" t="s">
        <v>277</v>
      </c>
      <c r="P25" s="21"/>
      <c r="Q25" s="21"/>
      <c r="R25" s="21"/>
      <c r="S25" s="21">
        <v>3</v>
      </c>
      <c r="T25" s="21"/>
      <c r="U25" s="21"/>
      <c r="V25" s="14" t="s">
        <v>97</v>
      </c>
      <c r="W25" s="17">
        <v>0.4</v>
      </c>
      <c r="X25" s="17">
        <v>0.35</v>
      </c>
      <c r="Y25" s="17">
        <v>0.55000000000000004</v>
      </c>
      <c r="Z25" s="17">
        <v>0.15</v>
      </c>
      <c r="AA25" s="18" t="b">
        <f>FALSE()</f>
        <v>0</v>
      </c>
      <c r="AB25" s="18" t="s">
        <v>98</v>
      </c>
      <c r="AC25" s="19">
        <v>0</v>
      </c>
      <c r="AD25" s="19">
        <v>0</v>
      </c>
      <c r="AE25" s="19">
        <v>0</v>
      </c>
      <c r="AF25" s="19">
        <v>0</v>
      </c>
      <c r="AG25" s="19">
        <v>0</v>
      </c>
      <c r="AH25" s="19">
        <v>0.57099999999999995</v>
      </c>
      <c r="AI25" s="19">
        <v>0.42899999999999999</v>
      </c>
      <c r="AJ25" s="19">
        <v>0</v>
      </c>
      <c r="AK25" s="18" t="s">
        <v>193</v>
      </c>
      <c r="BF25" t="s">
        <v>99</v>
      </c>
      <c r="BH25" t="s">
        <v>100</v>
      </c>
      <c r="BI25" t="s">
        <v>101</v>
      </c>
    </row>
    <row r="26" spans="1:61" ht="30" customHeight="1" x14ac:dyDescent="0.2">
      <c r="A26" s="25" t="s">
        <v>1417</v>
      </c>
      <c r="B26" s="14" t="s">
        <v>1418</v>
      </c>
      <c r="C26" s="15">
        <v>1870</v>
      </c>
      <c r="D26" s="14" t="s">
        <v>1419</v>
      </c>
      <c r="E26" s="14" t="s">
        <v>231</v>
      </c>
      <c r="F26" s="14" t="s">
        <v>253</v>
      </c>
      <c r="G26" s="14" t="s">
        <v>403</v>
      </c>
      <c r="H26" s="14" t="s">
        <v>1405</v>
      </c>
      <c r="I26" s="14"/>
      <c r="J26" s="14" t="s">
        <v>474</v>
      </c>
      <c r="K26" s="14" t="s">
        <v>330</v>
      </c>
      <c r="L26" s="14"/>
      <c r="M26" s="16" t="s">
        <v>1420</v>
      </c>
      <c r="N26" s="14" t="s">
        <v>256</v>
      </c>
      <c r="O26" s="14" t="s">
        <v>1407</v>
      </c>
      <c r="P26" s="14"/>
      <c r="Q26" s="14"/>
      <c r="R26" s="14"/>
      <c r="S26" s="14">
        <v>2</v>
      </c>
      <c r="T26" s="14" t="s">
        <v>1421</v>
      </c>
      <c r="U26" s="14"/>
      <c r="V26" s="14" t="s">
        <v>341</v>
      </c>
      <c r="W26" s="17">
        <v>0.65</v>
      </c>
      <c r="X26" s="17">
        <v>0.4</v>
      </c>
      <c r="Y26" s="17">
        <v>0.1</v>
      </c>
      <c r="Z26" s="17">
        <v>0.75</v>
      </c>
      <c r="AA26" s="18" t="b">
        <f>TRUE()</f>
        <v>1</v>
      </c>
      <c r="AB26" s="18" t="s">
        <v>246</v>
      </c>
      <c r="AC26" s="19">
        <v>8.7999999999999995E-2</v>
      </c>
      <c r="AD26" s="19">
        <v>8.7999999999999995E-2</v>
      </c>
      <c r="AE26" s="19">
        <v>0.26500000000000001</v>
      </c>
      <c r="AF26" s="19">
        <v>8.7999999999999995E-2</v>
      </c>
      <c r="AG26" s="19">
        <v>8.7999999999999995E-2</v>
      </c>
      <c r="AH26" s="19">
        <v>0.20599999999999999</v>
      </c>
      <c r="AI26" s="19">
        <v>8.7999999999999995E-2</v>
      </c>
      <c r="AJ26" s="19">
        <v>8.7999999999999995E-2</v>
      </c>
      <c r="AK26" s="18" t="s">
        <v>342</v>
      </c>
      <c r="BF26" t="s">
        <v>99</v>
      </c>
      <c r="BH26" t="s">
        <v>334</v>
      </c>
      <c r="BI26" t="s">
        <v>1409</v>
      </c>
    </row>
    <row r="27" spans="1:61" ht="30" customHeight="1" x14ac:dyDescent="0.2">
      <c r="A27" s="20" t="s">
        <v>283</v>
      </c>
      <c r="B27" s="21" t="s">
        <v>279</v>
      </c>
      <c r="C27" s="22" t="s">
        <v>156</v>
      </c>
      <c r="D27" s="21" t="s">
        <v>284</v>
      </c>
      <c r="E27" s="21" t="s">
        <v>231</v>
      </c>
      <c r="F27" s="21" t="s">
        <v>232</v>
      </c>
      <c r="G27" s="21" t="s">
        <v>285</v>
      </c>
      <c r="H27" s="21" t="s">
        <v>91</v>
      </c>
      <c r="I27" s="21"/>
      <c r="J27" s="21" t="s">
        <v>286</v>
      </c>
      <c r="K27" s="21" t="s">
        <v>233</v>
      </c>
      <c r="L27" s="21"/>
      <c r="M27" s="23" t="s">
        <v>287</v>
      </c>
      <c r="N27" s="21" t="s">
        <v>235</v>
      </c>
      <c r="O27" s="21" t="s">
        <v>288</v>
      </c>
      <c r="P27" s="21"/>
      <c r="Q27" s="21"/>
      <c r="R27" s="21"/>
      <c r="S27" s="21">
        <v>2</v>
      </c>
      <c r="T27" s="21"/>
      <c r="U27" s="21"/>
      <c r="V27" s="14" t="s">
        <v>97</v>
      </c>
      <c r="W27" s="17">
        <v>0.4</v>
      </c>
      <c r="X27" s="17">
        <v>0.35</v>
      </c>
      <c r="Y27" s="17">
        <v>0.55000000000000004</v>
      </c>
      <c r="Z27" s="17">
        <v>0.15</v>
      </c>
      <c r="AA27" s="18" t="b">
        <f>FALSE()</f>
        <v>0</v>
      </c>
      <c r="AB27" s="18" t="s">
        <v>98</v>
      </c>
      <c r="AC27" s="19">
        <v>0</v>
      </c>
      <c r="AD27" s="19">
        <v>0</v>
      </c>
      <c r="AE27" s="19">
        <v>0</v>
      </c>
      <c r="AF27" s="19">
        <v>0</v>
      </c>
      <c r="AG27" s="19">
        <v>0</v>
      </c>
      <c r="AH27" s="19">
        <v>0.57099999999999995</v>
      </c>
      <c r="AI27" s="19">
        <v>0.42899999999999999</v>
      </c>
      <c r="AJ27" s="19">
        <v>0</v>
      </c>
      <c r="AK27" s="18" t="s">
        <v>193</v>
      </c>
      <c r="BF27" t="s">
        <v>99</v>
      </c>
      <c r="BH27" t="s">
        <v>100</v>
      </c>
      <c r="BI27" t="s">
        <v>101</v>
      </c>
    </row>
    <row r="28" spans="1:61" ht="30" customHeight="1" x14ac:dyDescent="0.2">
      <c r="A28" s="25" t="s">
        <v>1447</v>
      </c>
      <c r="B28" s="14" t="s">
        <v>1443</v>
      </c>
      <c r="C28" s="15">
        <v>1870</v>
      </c>
      <c r="D28" s="14" t="s">
        <v>1448</v>
      </c>
      <c r="E28" s="14" t="s">
        <v>231</v>
      </c>
      <c r="F28" s="14" t="s">
        <v>253</v>
      </c>
      <c r="G28" s="14" t="s">
        <v>403</v>
      </c>
      <c r="H28" s="14" t="s">
        <v>91</v>
      </c>
      <c r="I28" s="14"/>
      <c r="J28" s="14" t="s">
        <v>1438</v>
      </c>
      <c r="K28" s="14" t="s">
        <v>330</v>
      </c>
      <c r="L28" s="14"/>
      <c r="M28" s="16" t="s">
        <v>1449</v>
      </c>
      <c r="N28" s="14" t="s">
        <v>256</v>
      </c>
      <c r="O28" s="14" t="s">
        <v>1407</v>
      </c>
      <c r="P28" s="14"/>
      <c r="Q28" s="14"/>
      <c r="R28" s="14"/>
      <c r="S28" s="14">
        <v>2</v>
      </c>
      <c r="T28" s="14" t="s">
        <v>1450</v>
      </c>
      <c r="U28" s="14"/>
      <c r="V28" s="14" t="s">
        <v>341</v>
      </c>
      <c r="W28" s="17">
        <v>0.65</v>
      </c>
      <c r="X28" s="17">
        <v>0.4</v>
      </c>
      <c r="Y28" s="17">
        <v>0.1</v>
      </c>
      <c r="Z28" s="17">
        <v>0.75</v>
      </c>
      <c r="AA28" s="18" t="b">
        <f>TRUE()</f>
        <v>1</v>
      </c>
      <c r="AB28" s="18" t="s">
        <v>246</v>
      </c>
      <c r="AC28" s="19">
        <v>8.7999999999999995E-2</v>
      </c>
      <c r="AD28" s="19">
        <v>8.7999999999999995E-2</v>
      </c>
      <c r="AE28" s="19">
        <v>0.26500000000000001</v>
      </c>
      <c r="AF28" s="19">
        <v>8.7999999999999995E-2</v>
      </c>
      <c r="AG28" s="19">
        <v>8.7999999999999995E-2</v>
      </c>
      <c r="AH28" s="19">
        <v>0.20599999999999999</v>
      </c>
      <c r="AI28" s="19">
        <v>8.7999999999999995E-2</v>
      </c>
      <c r="AJ28" s="19">
        <v>8.7999999999999995E-2</v>
      </c>
      <c r="AK28" s="18" t="s">
        <v>342</v>
      </c>
      <c r="BF28" t="s">
        <v>99</v>
      </c>
      <c r="BH28" t="s">
        <v>334</v>
      </c>
      <c r="BI28" t="s">
        <v>1434</v>
      </c>
    </row>
    <row r="29" spans="1:61" ht="30" customHeight="1" x14ac:dyDescent="0.2">
      <c r="A29" s="13" t="s">
        <v>1402</v>
      </c>
      <c r="B29" s="14" t="s">
        <v>1403</v>
      </c>
      <c r="C29" s="15">
        <v>1873</v>
      </c>
      <c r="D29" s="14" t="s">
        <v>1404</v>
      </c>
      <c r="E29" s="14" t="s">
        <v>231</v>
      </c>
      <c r="F29" s="14" t="s">
        <v>253</v>
      </c>
      <c r="G29" s="14" t="s">
        <v>403</v>
      </c>
      <c r="H29" s="14" t="s">
        <v>1405</v>
      </c>
      <c r="I29" s="14"/>
      <c r="J29" s="14" t="s">
        <v>474</v>
      </c>
      <c r="K29" s="14" t="s">
        <v>330</v>
      </c>
      <c r="L29" s="14"/>
      <c r="M29" s="16" t="s">
        <v>1406</v>
      </c>
      <c r="N29" s="14" t="s">
        <v>256</v>
      </c>
      <c r="O29" s="14" t="s">
        <v>1407</v>
      </c>
      <c r="P29" s="14"/>
      <c r="Q29" s="14"/>
      <c r="R29" s="14"/>
      <c r="S29" s="14">
        <v>2</v>
      </c>
      <c r="T29" s="14" t="s">
        <v>1408</v>
      </c>
      <c r="U29" s="14"/>
      <c r="V29" s="14" t="s">
        <v>341</v>
      </c>
      <c r="W29" s="17">
        <v>0.65</v>
      </c>
      <c r="X29" s="17">
        <v>0.4</v>
      </c>
      <c r="Y29" s="17">
        <v>0.1</v>
      </c>
      <c r="Z29" s="17">
        <v>0.75</v>
      </c>
      <c r="AA29" s="18" t="b">
        <f>TRUE()</f>
        <v>1</v>
      </c>
      <c r="AB29" s="18" t="s">
        <v>246</v>
      </c>
      <c r="AC29" s="19">
        <v>8.7999999999999995E-2</v>
      </c>
      <c r="AD29" s="19">
        <v>8.7999999999999995E-2</v>
      </c>
      <c r="AE29" s="19">
        <v>0.26500000000000001</v>
      </c>
      <c r="AF29" s="19">
        <v>8.7999999999999995E-2</v>
      </c>
      <c r="AG29" s="19">
        <v>8.7999999999999995E-2</v>
      </c>
      <c r="AH29" s="19">
        <v>0.20599999999999999</v>
      </c>
      <c r="AI29" s="19">
        <v>8.7999999999999995E-2</v>
      </c>
      <c r="AJ29" s="19">
        <v>8.7999999999999995E-2</v>
      </c>
      <c r="AK29" s="18" t="s">
        <v>342</v>
      </c>
      <c r="BF29" t="s">
        <v>99</v>
      </c>
      <c r="BH29" t="s">
        <v>334</v>
      </c>
      <c r="BI29" t="s">
        <v>1409</v>
      </c>
    </row>
    <row r="30" spans="1:61" ht="30" customHeight="1" x14ac:dyDescent="0.2">
      <c r="A30" s="13" t="s">
        <v>311</v>
      </c>
      <c r="B30" s="14" t="s">
        <v>312</v>
      </c>
      <c r="C30" s="15" t="s">
        <v>313</v>
      </c>
      <c r="D30" s="14" t="s">
        <v>314</v>
      </c>
      <c r="E30" s="14" t="s">
        <v>231</v>
      </c>
      <c r="F30" s="14" t="s">
        <v>232</v>
      </c>
      <c r="G30" s="14" t="s">
        <v>131</v>
      </c>
      <c r="H30" s="14" t="s">
        <v>91</v>
      </c>
      <c r="I30" s="14"/>
      <c r="J30" s="14" t="s">
        <v>132</v>
      </c>
      <c r="K30" s="14" t="s">
        <v>233</v>
      </c>
      <c r="L30" s="14"/>
      <c r="M30" s="16" t="s">
        <v>315</v>
      </c>
      <c r="N30" s="14" t="s">
        <v>235</v>
      </c>
      <c r="O30" s="14" t="s">
        <v>316</v>
      </c>
      <c r="P30" s="14"/>
      <c r="Q30" s="14"/>
      <c r="R30" s="14"/>
      <c r="S30" s="14">
        <v>2</v>
      </c>
      <c r="T30" s="14"/>
      <c r="U30" s="14"/>
      <c r="V30" s="14" t="s">
        <v>97</v>
      </c>
      <c r="W30" s="17">
        <v>0.4</v>
      </c>
      <c r="X30" s="17">
        <v>0.35</v>
      </c>
      <c r="Y30" s="17">
        <v>0.55000000000000004</v>
      </c>
      <c r="Z30" s="17">
        <v>0.15</v>
      </c>
      <c r="AA30" s="18" t="b">
        <f>FALSE()</f>
        <v>0</v>
      </c>
      <c r="AB30" s="18" t="s">
        <v>98</v>
      </c>
      <c r="AC30" s="19">
        <v>0</v>
      </c>
      <c r="AD30" s="19">
        <v>0</v>
      </c>
      <c r="AE30" s="19">
        <v>0</v>
      </c>
      <c r="AF30" s="19">
        <v>0</v>
      </c>
      <c r="AG30" s="19">
        <v>0</v>
      </c>
      <c r="AH30" s="19">
        <v>0.57099999999999995</v>
      </c>
      <c r="AI30" s="19">
        <v>0.42899999999999999</v>
      </c>
      <c r="AJ30" s="19">
        <v>0</v>
      </c>
      <c r="AK30" s="18" t="s">
        <v>193</v>
      </c>
      <c r="BF30" t="s">
        <v>99</v>
      </c>
      <c r="BH30" t="s">
        <v>100</v>
      </c>
      <c r="BI30" t="s">
        <v>101</v>
      </c>
    </row>
    <row r="31" spans="1:61" ht="30" customHeight="1" x14ac:dyDescent="0.2">
      <c r="A31" s="13" t="s">
        <v>317</v>
      </c>
      <c r="B31" s="14" t="s">
        <v>318</v>
      </c>
      <c r="C31" s="15" t="s">
        <v>319</v>
      </c>
      <c r="D31" s="14" t="s">
        <v>320</v>
      </c>
      <c r="E31" s="14" t="s">
        <v>231</v>
      </c>
      <c r="F31" s="14" t="s">
        <v>321</v>
      </c>
      <c r="G31" s="14" t="s">
        <v>150</v>
      </c>
      <c r="H31" s="14" t="s">
        <v>108</v>
      </c>
      <c r="I31" s="14"/>
      <c r="J31" s="14" t="s">
        <v>109</v>
      </c>
      <c r="K31" s="14" t="s">
        <v>190</v>
      </c>
      <c r="L31" s="14"/>
      <c r="M31" s="16" t="s">
        <v>322</v>
      </c>
      <c r="N31" s="14" t="s">
        <v>323</v>
      </c>
      <c r="O31" s="14" t="s">
        <v>324</v>
      </c>
      <c r="P31" s="14"/>
      <c r="Q31" s="14"/>
      <c r="R31" s="14"/>
      <c r="S31" s="14">
        <v>3</v>
      </c>
      <c r="T31" s="14"/>
      <c r="U31" s="14"/>
      <c r="V31" s="14" t="s">
        <v>97</v>
      </c>
      <c r="W31" s="17">
        <v>0.22</v>
      </c>
      <c r="X31" s="17">
        <v>0.4</v>
      </c>
      <c r="Y31" s="17">
        <v>0.32</v>
      </c>
      <c r="Z31" s="17">
        <v>0.5</v>
      </c>
      <c r="AA31" s="18" t="b">
        <f>FALSE()</f>
        <v>0</v>
      </c>
      <c r="AB31" s="18" t="s">
        <v>98</v>
      </c>
      <c r="AC31" s="19">
        <v>8.3000000000000004E-2</v>
      </c>
      <c r="AD31" s="19">
        <v>0</v>
      </c>
      <c r="AE31" s="19">
        <v>0.20799999999999999</v>
      </c>
      <c r="AF31" s="19">
        <v>8.3000000000000004E-2</v>
      </c>
      <c r="AG31" s="19">
        <v>0</v>
      </c>
      <c r="AH31" s="19">
        <v>0.625</v>
      </c>
      <c r="AI31" s="19">
        <v>0</v>
      </c>
      <c r="AJ31" s="19">
        <v>0</v>
      </c>
      <c r="AK31" s="18" t="s">
        <v>193</v>
      </c>
      <c r="BF31" t="s">
        <v>99</v>
      </c>
      <c r="BH31" t="s">
        <v>100</v>
      </c>
      <c r="BI31" t="s">
        <v>101</v>
      </c>
    </row>
    <row r="32" spans="1:61" ht="30" customHeight="1" x14ac:dyDescent="0.2">
      <c r="A32" s="13" t="s">
        <v>325</v>
      </c>
      <c r="B32" s="14" t="s">
        <v>326</v>
      </c>
      <c r="C32" s="15" t="s">
        <v>327</v>
      </c>
      <c r="D32" s="14" t="s">
        <v>328</v>
      </c>
      <c r="E32" s="14" t="s">
        <v>231</v>
      </c>
      <c r="F32" s="14" t="s">
        <v>321</v>
      </c>
      <c r="G32" s="14" t="s">
        <v>329</v>
      </c>
      <c r="H32" s="14" t="s">
        <v>108</v>
      </c>
      <c r="I32" s="14"/>
      <c r="J32" s="14" t="s">
        <v>109</v>
      </c>
      <c r="K32" s="14" t="s">
        <v>330</v>
      </c>
      <c r="L32" s="14"/>
      <c r="M32" s="16" t="s">
        <v>331</v>
      </c>
      <c r="N32" s="14" t="s">
        <v>323</v>
      </c>
      <c r="O32" s="14" t="s">
        <v>332</v>
      </c>
      <c r="P32" s="14"/>
      <c r="Q32" s="14"/>
      <c r="R32" s="14"/>
      <c r="S32" s="14">
        <v>1</v>
      </c>
      <c r="T32" s="14"/>
      <c r="U32" s="14"/>
      <c r="V32" s="14" t="s">
        <v>97</v>
      </c>
      <c r="W32" s="17">
        <v>0.22</v>
      </c>
      <c r="X32" s="17">
        <v>0.32</v>
      </c>
      <c r="Y32" s="17">
        <v>0.32</v>
      </c>
      <c r="Z32" s="17">
        <v>0.5</v>
      </c>
      <c r="AA32" s="18" t="b">
        <f>FALSE()</f>
        <v>0</v>
      </c>
      <c r="AB32" s="18" t="s">
        <v>98</v>
      </c>
      <c r="AC32" s="19">
        <v>0.16700000000000001</v>
      </c>
      <c r="AD32" s="19">
        <v>0.1</v>
      </c>
      <c r="AE32" s="19">
        <v>0.16700000000000001</v>
      </c>
      <c r="AF32" s="19">
        <v>0.16700000000000001</v>
      </c>
      <c r="AG32" s="19">
        <v>0.1</v>
      </c>
      <c r="AH32" s="19">
        <v>0.1</v>
      </c>
      <c r="AI32" s="19">
        <v>0.1</v>
      </c>
      <c r="AJ32" s="19">
        <v>0.1</v>
      </c>
      <c r="AK32" s="18" t="s">
        <v>333</v>
      </c>
      <c r="BF32" t="s">
        <v>99</v>
      </c>
      <c r="BH32" t="s">
        <v>334</v>
      </c>
      <c r="BI32" t="s">
        <v>335</v>
      </c>
    </row>
    <row r="33" spans="1:62" ht="30" customHeight="1" x14ac:dyDescent="0.2">
      <c r="A33" s="20" t="s">
        <v>336</v>
      </c>
      <c r="B33" s="21" t="s">
        <v>337</v>
      </c>
      <c r="C33" s="22" t="s">
        <v>162</v>
      </c>
      <c r="D33" s="21" t="s">
        <v>338</v>
      </c>
      <c r="E33" s="21" t="s">
        <v>231</v>
      </c>
      <c r="F33" s="21" t="s">
        <v>253</v>
      </c>
      <c r="G33" s="21" t="s">
        <v>150</v>
      </c>
      <c r="H33" s="21" t="s">
        <v>241</v>
      </c>
      <c r="I33" s="21"/>
      <c r="J33" s="21" t="s">
        <v>132</v>
      </c>
      <c r="K33" s="21" t="s">
        <v>330</v>
      </c>
      <c r="L33" s="21"/>
      <c r="M33" s="23" t="s">
        <v>339</v>
      </c>
      <c r="N33" s="21" t="s">
        <v>256</v>
      </c>
      <c r="O33" s="21" t="s">
        <v>340</v>
      </c>
      <c r="P33" s="21"/>
      <c r="Q33" s="21"/>
      <c r="R33" s="21"/>
      <c r="S33" s="21">
        <v>2</v>
      </c>
      <c r="T33" s="21"/>
      <c r="U33" s="21"/>
      <c r="V33" s="14" t="s">
        <v>341</v>
      </c>
      <c r="W33" s="17">
        <v>0.6</v>
      </c>
      <c r="X33" s="17">
        <v>0.4</v>
      </c>
      <c r="Y33" s="17">
        <v>0.1</v>
      </c>
      <c r="Z33" s="17">
        <v>0.7</v>
      </c>
      <c r="AA33" s="18" t="b">
        <f>FALSE()</f>
        <v>0</v>
      </c>
      <c r="AB33" s="18" t="s">
        <v>98</v>
      </c>
      <c r="AC33" s="19">
        <v>8.7999999999999995E-2</v>
      </c>
      <c r="AD33" s="19">
        <v>8.7999999999999995E-2</v>
      </c>
      <c r="AE33" s="19">
        <v>0.26500000000000001</v>
      </c>
      <c r="AF33" s="19">
        <v>8.7999999999999995E-2</v>
      </c>
      <c r="AG33" s="19">
        <v>8.7999999999999995E-2</v>
      </c>
      <c r="AH33" s="19">
        <v>0.20599999999999999</v>
      </c>
      <c r="AI33" s="19">
        <v>8.7999999999999995E-2</v>
      </c>
      <c r="AJ33" s="19">
        <v>8.7999999999999995E-2</v>
      </c>
      <c r="AK33" s="18" t="s">
        <v>342</v>
      </c>
      <c r="BF33" t="s">
        <v>99</v>
      </c>
      <c r="BH33" t="s">
        <v>100</v>
      </c>
      <c r="BI33" t="s">
        <v>101</v>
      </c>
    </row>
    <row r="34" spans="1:62" ht="30" customHeight="1" x14ac:dyDescent="0.2">
      <c r="A34" s="13" t="s">
        <v>343</v>
      </c>
      <c r="B34" s="14" t="s">
        <v>344</v>
      </c>
      <c r="C34" s="15" t="s">
        <v>136</v>
      </c>
      <c r="D34" s="14" t="s">
        <v>345</v>
      </c>
      <c r="E34" s="14" t="s">
        <v>231</v>
      </c>
      <c r="F34" s="14" t="s">
        <v>321</v>
      </c>
      <c r="G34" s="14" t="s">
        <v>150</v>
      </c>
      <c r="H34" s="14" t="s">
        <v>254</v>
      </c>
      <c r="I34" s="14"/>
      <c r="J34" s="14" t="s">
        <v>132</v>
      </c>
      <c r="K34" s="14" t="s">
        <v>330</v>
      </c>
      <c r="L34" s="14"/>
      <c r="M34" s="16" t="s">
        <v>346</v>
      </c>
      <c r="N34" s="14" t="s">
        <v>323</v>
      </c>
      <c r="O34" s="14" t="s">
        <v>347</v>
      </c>
      <c r="P34" s="14"/>
      <c r="Q34" s="14"/>
      <c r="R34" s="14"/>
      <c r="S34" s="14">
        <v>1</v>
      </c>
      <c r="T34" s="14"/>
      <c r="U34" s="14"/>
      <c r="V34" s="14" t="s">
        <v>97</v>
      </c>
      <c r="W34" s="17">
        <v>0.22</v>
      </c>
      <c r="X34" s="17">
        <v>0.32</v>
      </c>
      <c r="Y34" s="17">
        <v>0.32</v>
      </c>
      <c r="Z34" s="17">
        <v>0.5</v>
      </c>
      <c r="AA34" s="18" t="b">
        <f>FALSE()</f>
        <v>0</v>
      </c>
      <c r="AB34" s="18" t="s">
        <v>98</v>
      </c>
      <c r="AC34" s="19">
        <v>0.16700000000000001</v>
      </c>
      <c r="AD34" s="19">
        <v>0.1</v>
      </c>
      <c r="AE34" s="19">
        <v>0.16700000000000001</v>
      </c>
      <c r="AF34" s="19">
        <v>0.16700000000000001</v>
      </c>
      <c r="AG34" s="19">
        <v>0.1</v>
      </c>
      <c r="AH34" s="19">
        <v>0.1</v>
      </c>
      <c r="AI34" s="19">
        <v>0.1</v>
      </c>
      <c r="AJ34" s="19">
        <v>0.1</v>
      </c>
      <c r="AK34" s="18" t="s">
        <v>333</v>
      </c>
      <c r="BF34" t="s">
        <v>99</v>
      </c>
      <c r="BH34" t="s">
        <v>100</v>
      </c>
      <c r="BI34" t="s">
        <v>101</v>
      </c>
    </row>
    <row r="35" spans="1:62" ht="30" customHeight="1" x14ac:dyDescent="0.2">
      <c r="A35" s="20" t="s">
        <v>348</v>
      </c>
      <c r="B35" s="21" t="s">
        <v>349</v>
      </c>
      <c r="C35" s="22" t="s">
        <v>350</v>
      </c>
      <c r="D35" s="21" t="s">
        <v>351</v>
      </c>
      <c r="E35" s="21" t="s">
        <v>231</v>
      </c>
      <c r="F35" s="21" t="s">
        <v>232</v>
      </c>
      <c r="G35" s="21" t="s">
        <v>131</v>
      </c>
      <c r="H35" s="21" t="s">
        <v>241</v>
      </c>
      <c r="I35" s="21"/>
      <c r="J35" s="21" t="s">
        <v>352</v>
      </c>
      <c r="K35" s="21" t="s">
        <v>233</v>
      </c>
      <c r="L35" s="21"/>
      <c r="M35" s="23" t="s">
        <v>353</v>
      </c>
      <c r="N35" s="21" t="s">
        <v>235</v>
      </c>
      <c r="O35" s="21" t="s">
        <v>316</v>
      </c>
      <c r="P35" s="21"/>
      <c r="Q35" s="21"/>
      <c r="R35" s="21"/>
      <c r="S35" s="21">
        <v>3</v>
      </c>
      <c r="T35" s="21"/>
      <c r="U35" s="21"/>
      <c r="V35" s="14" t="s">
        <v>341</v>
      </c>
      <c r="W35" s="17">
        <v>0.4</v>
      </c>
      <c r="X35" s="17">
        <v>0.35</v>
      </c>
      <c r="Y35" s="17">
        <v>0.55000000000000004</v>
      </c>
      <c r="Z35" s="17">
        <v>0.15</v>
      </c>
      <c r="AA35" s="18" t="b">
        <f>FALSE()</f>
        <v>0</v>
      </c>
      <c r="AB35" s="18" t="s">
        <v>98</v>
      </c>
      <c r="AC35" s="19">
        <v>0</v>
      </c>
      <c r="AD35" s="19">
        <v>0</v>
      </c>
      <c r="AE35" s="19">
        <v>0</v>
      </c>
      <c r="AF35" s="19">
        <v>0</v>
      </c>
      <c r="AG35" s="19">
        <v>0</v>
      </c>
      <c r="AH35" s="19">
        <v>0.57099999999999995</v>
      </c>
      <c r="AI35" s="19">
        <v>0.42899999999999999</v>
      </c>
      <c r="AJ35" s="19">
        <v>0</v>
      </c>
      <c r="AK35" s="18" t="s">
        <v>193</v>
      </c>
      <c r="BF35" t="s">
        <v>99</v>
      </c>
      <c r="BH35" t="s">
        <v>100</v>
      </c>
      <c r="BI35" t="s">
        <v>101</v>
      </c>
    </row>
    <row r="36" spans="1:62" ht="30" customHeight="1" x14ac:dyDescent="0.2">
      <c r="A36" s="13" t="s">
        <v>354</v>
      </c>
      <c r="B36" s="14" t="s">
        <v>355</v>
      </c>
      <c r="C36" s="15" t="s">
        <v>356</v>
      </c>
      <c r="D36" s="14" t="s">
        <v>357</v>
      </c>
      <c r="E36" s="14" t="s">
        <v>231</v>
      </c>
      <c r="F36" s="14" t="s">
        <v>358</v>
      </c>
      <c r="G36" s="14" t="s">
        <v>329</v>
      </c>
      <c r="H36" s="14" t="s">
        <v>254</v>
      </c>
      <c r="I36" s="14"/>
      <c r="J36" s="14" t="s">
        <v>359</v>
      </c>
      <c r="K36" s="14" t="s">
        <v>360</v>
      </c>
      <c r="L36" s="14"/>
      <c r="M36" s="16" t="s">
        <v>361</v>
      </c>
      <c r="N36" s="14" t="s">
        <v>192</v>
      </c>
      <c r="O36" s="14" t="s">
        <v>362</v>
      </c>
      <c r="P36" s="14"/>
      <c r="Q36" s="14"/>
      <c r="R36" s="14"/>
      <c r="S36" s="14">
        <v>3</v>
      </c>
      <c r="T36" s="14"/>
      <c r="U36" s="14"/>
      <c r="V36" s="14" t="s">
        <v>97</v>
      </c>
      <c r="W36" s="17">
        <v>0.5</v>
      </c>
      <c r="X36" s="17">
        <v>0.42</v>
      </c>
      <c r="Y36" s="17">
        <v>0.35</v>
      </c>
      <c r="Z36" s="17">
        <v>0.95</v>
      </c>
      <c r="AA36" s="18" t="b">
        <f>FALSE()</f>
        <v>0</v>
      </c>
      <c r="AB36" s="18" t="s">
        <v>98</v>
      </c>
      <c r="AC36" s="19">
        <v>0.71799999999999997</v>
      </c>
      <c r="AD36" s="19">
        <v>0.20499999999999999</v>
      </c>
      <c r="AE36" s="19">
        <v>0</v>
      </c>
      <c r="AF36" s="19">
        <v>7.6999999999999999E-2</v>
      </c>
      <c r="AG36" s="19">
        <v>0</v>
      </c>
      <c r="AH36" s="19">
        <v>0</v>
      </c>
      <c r="AI36" s="19">
        <v>0</v>
      </c>
      <c r="AJ36" s="19">
        <v>0</v>
      </c>
      <c r="AK36" s="18" t="s">
        <v>333</v>
      </c>
      <c r="AL36">
        <v>0</v>
      </c>
      <c r="AM36">
        <v>1</v>
      </c>
      <c r="AN36">
        <v>0.67</v>
      </c>
      <c r="AO36">
        <v>1</v>
      </c>
      <c r="AP36">
        <v>0.83</v>
      </c>
      <c r="AQ36">
        <v>0</v>
      </c>
      <c r="AR36">
        <v>0.56999999999999995</v>
      </c>
      <c r="BF36" t="s">
        <v>247</v>
      </c>
      <c r="BG36" t="s">
        <v>248</v>
      </c>
      <c r="BH36" t="s">
        <v>249</v>
      </c>
      <c r="BI36" t="s">
        <v>363</v>
      </c>
      <c r="BJ36">
        <v>1</v>
      </c>
    </row>
    <row r="37" spans="1:62" ht="30" customHeight="1" x14ac:dyDescent="0.2">
      <c r="A37" s="13" t="s">
        <v>1415</v>
      </c>
      <c r="B37" s="14" t="s">
        <v>1403</v>
      </c>
      <c r="C37" s="15">
        <v>1875</v>
      </c>
      <c r="D37" s="14" t="s">
        <v>1416</v>
      </c>
      <c r="E37" s="14" t="s">
        <v>231</v>
      </c>
      <c r="F37" s="14" t="s">
        <v>253</v>
      </c>
      <c r="G37" s="14" t="s">
        <v>403</v>
      </c>
      <c r="H37" s="14" t="s">
        <v>1405</v>
      </c>
      <c r="I37" s="14"/>
      <c r="J37" s="14" t="s">
        <v>474</v>
      </c>
      <c r="K37" s="14" t="s">
        <v>330</v>
      </c>
      <c r="L37" s="14"/>
      <c r="M37" s="16" t="s">
        <v>1406</v>
      </c>
      <c r="N37" s="14" t="s">
        <v>256</v>
      </c>
      <c r="O37" s="14" t="s">
        <v>1407</v>
      </c>
      <c r="P37" s="14"/>
      <c r="Q37" s="14"/>
      <c r="R37" s="14"/>
      <c r="S37" s="14">
        <v>2</v>
      </c>
      <c r="T37" s="14"/>
      <c r="U37" s="14"/>
      <c r="V37" s="14" t="s">
        <v>341</v>
      </c>
      <c r="W37" s="17">
        <v>0.65</v>
      </c>
      <c r="X37" s="17">
        <v>0.4</v>
      </c>
      <c r="Y37" s="17">
        <v>0.1</v>
      </c>
      <c r="Z37" s="17">
        <v>0.75</v>
      </c>
      <c r="AA37" s="18" t="b">
        <f>TRUE()</f>
        <v>1</v>
      </c>
      <c r="AB37" s="18" t="s">
        <v>246</v>
      </c>
      <c r="AC37" s="19">
        <v>8.7999999999999995E-2</v>
      </c>
      <c r="AD37" s="19">
        <v>8.7999999999999995E-2</v>
      </c>
      <c r="AE37" s="19">
        <v>0.26500000000000001</v>
      </c>
      <c r="AF37" s="19">
        <v>8.7999999999999995E-2</v>
      </c>
      <c r="AG37" s="19">
        <v>8.7999999999999995E-2</v>
      </c>
      <c r="AH37" s="19">
        <v>0.20599999999999999</v>
      </c>
      <c r="AI37" s="19">
        <v>8.7999999999999995E-2</v>
      </c>
      <c r="AJ37" s="19">
        <v>8.7999999999999995E-2</v>
      </c>
      <c r="AK37" s="18" t="s">
        <v>342</v>
      </c>
      <c r="BF37" t="s">
        <v>99</v>
      </c>
      <c r="BH37" t="s">
        <v>334</v>
      </c>
      <c r="BI37" t="s">
        <v>1409</v>
      </c>
    </row>
    <row r="38" spans="1:62" ht="30" customHeight="1" x14ac:dyDescent="0.2">
      <c r="A38" s="25" t="s">
        <v>1451</v>
      </c>
      <c r="B38" s="14" t="s">
        <v>1443</v>
      </c>
      <c r="C38" s="15">
        <v>1875</v>
      </c>
      <c r="D38" s="14" t="s">
        <v>1452</v>
      </c>
      <c r="E38" s="14" t="s">
        <v>231</v>
      </c>
      <c r="F38" s="14" t="s">
        <v>253</v>
      </c>
      <c r="G38" s="14" t="s">
        <v>403</v>
      </c>
      <c r="H38" s="14" t="s">
        <v>91</v>
      </c>
      <c r="I38" s="14"/>
      <c r="J38" s="14" t="s">
        <v>1438</v>
      </c>
      <c r="K38" s="14" t="s">
        <v>330</v>
      </c>
      <c r="L38" s="14"/>
      <c r="M38" s="16" t="s">
        <v>1453</v>
      </c>
      <c r="N38" s="14" t="s">
        <v>256</v>
      </c>
      <c r="O38" s="14" t="s">
        <v>1407</v>
      </c>
      <c r="P38" s="14"/>
      <c r="Q38" s="14"/>
      <c r="R38" s="14"/>
      <c r="S38" s="14">
        <v>2</v>
      </c>
      <c r="T38" s="14" t="s">
        <v>1454</v>
      </c>
      <c r="U38" s="14"/>
      <c r="V38" s="14" t="s">
        <v>341</v>
      </c>
      <c r="W38" s="17">
        <v>0.65</v>
      </c>
      <c r="X38" s="17">
        <v>0.4</v>
      </c>
      <c r="Y38" s="17">
        <v>0.1</v>
      </c>
      <c r="Z38" s="17">
        <v>0.75</v>
      </c>
      <c r="AA38" s="18" t="b">
        <f>TRUE()</f>
        <v>1</v>
      </c>
      <c r="AB38" s="18" t="s">
        <v>246</v>
      </c>
      <c r="AC38" s="19">
        <v>8.7999999999999995E-2</v>
      </c>
      <c r="AD38" s="19">
        <v>8.7999999999999995E-2</v>
      </c>
      <c r="AE38" s="19">
        <v>0.26500000000000001</v>
      </c>
      <c r="AF38" s="19">
        <v>8.7999999999999995E-2</v>
      </c>
      <c r="AG38" s="19">
        <v>8.7999999999999995E-2</v>
      </c>
      <c r="AH38" s="19">
        <v>0.20599999999999999</v>
      </c>
      <c r="AI38" s="19">
        <v>8.7999999999999995E-2</v>
      </c>
      <c r="AJ38" s="19">
        <v>8.7999999999999995E-2</v>
      </c>
      <c r="AK38" s="18" t="s">
        <v>342</v>
      </c>
      <c r="BF38" t="s">
        <v>99</v>
      </c>
      <c r="BH38" t="s">
        <v>334</v>
      </c>
      <c r="BI38" t="s">
        <v>1434</v>
      </c>
    </row>
    <row r="39" spans="1:62" ht="30" customHeight="1" x14ac:dyDescent="0.2">
      <c r="A39" s="13" t="s">
        <v>1422</v>
      </c>
      <c r="B39" s="14" t="s">
        <v>1423</v>
      </c>
      <c r="C39" s="15">
        <v>1887</v>
      </c>
      <c r="D39" s="14" t="s">
        <v>1424</v>
      </c>
      <c r="E39" s="14" t="s">
        <v>231</v>
      </c>
      <c r="F39" s="14" t="s">
        <v>253</v>
      </c>
      <c r="G39" s="14" t="s">
        <v>403</v>
      </c>
      <c r="H39" s="14" t="s">
        <v>1405</v>
      </c>
      <c r="I39" s="14"/>
      <c r="J39" s="14" t="s">
        <v>474</v>
      </c>
      <c r="K39" s="14" t="s">
        <v>330</v>
      </c>
      <c r="L39" s="14"/>
      <c r="M39" s="16" t="s">
        <v>1420</v>
      </c>
      <c r="N39" s="14" t="s">
        <v>256</v>
      </c>
      <c r="O39" s="14" t="s">
        <v>1407</v>
      </c>
      <c r="P39" s="14"/>
      <c r="Q39" s="14"/>
      <c r="R39" s="14"/>
      <c r="S39" s="14">
        <v>2</v>
      </c>
      <c r="T39" s="14" t="s">
        <v>1425</v>
      </c>
      <c r="U39" s="14"/>
      <c r="V39" s="14" t="s">
        <v>341</v>
      </c>
      <c r="W39" s="17">
        <v>0.65</v>
      </c>
      <c r="X39" s="17">
        <v>0.4</v>
      </c>
      <c r="Y39" s="17">
        <v>0.1</v>
      </c>
      <c r="Z39" s="17">
        <v>0.75</v>
      </c>
      <c r="AA39" s="18" t="b">
        <f>TRUE()</f>
        <v>1</v>
      </c>
      <c r="AB39" s="18" t="s">
        <v>246</v>
      </c>
      <c r="AC39" s="19">
        <v>8.7999999999999995E-2</v>
      </c>
      <c r="AD39" s="19">
        <v>8.7999999999999995E-2</v>
      </c>
      <c r="AE39" s="19">
        <v>0.26500000000000001</v>
      </c>
      <c r="AF39" s="19">
        <v>8.7999999999999995E-2</v>
      </c>
      <c r="AG39" s="19">
        <v>8.7999999999999995E-2</v>
      </c>
      <c r="AH39" s="19">
        <v>0.20599999999999999</v>
      </c>
      <c r="AI39" s="19">
        <v>8.7999999999999995E-2</v>
      </c>
      <c r="AJ39" s="19">
        <v>8.7999999999999995E-2</v>
      </c>
      <c r="AK39" s="18" t="s">
        <v>342</v>
      </c>
      <c r="BF39" t="s">
        <v>99</v>
      </c>
      <c r="BH39" t="s">
        <v>334</v>
      </c>
      <c r="BI39" t="s">
        <v>1409</v>
      </c>
    </row>
    <row r="40" spans="1:62" ht="30" customHeight="1" x14ac:dyDescent="0.2">
      <c r="A40" s="13" t="s">
        <v>1426</v>
      </c>
      <c r="B40" s="14" t="s">
        <v>1423</v>
      </c>
      <c r="C40" s="15">
        <v>1890</v>
      </c>
      <c r="D40" s="14" t="s">
        <v>1427</v>
      </c>
      <c r="E40" s="14" t="s">
        <v>231</v>
      </c>
      <c r="F40" s="14" t="s">
        <v>253</v>
      </c>
      <c r="G40" s="14" t="s">
        <v>403</v>
      </c>
      <c r="H40" s="14" t="s">
        <v>1405</v>
      </c>
      <c r="I40" s="14"/>
      <c r="J40" s="14" t="s">
        <v>474</v>
      </c>
      <c r="K40" s="14" t="s">
        <v>330</v>
      </c>
      <c r="L40" s="14"/>
      <c r="M40" s="16" t="s">
        <v>1420</v>
      </c>
      <c r="N40" s="14" t="s">
        <v>256</v>
      </c>
      <c r="O40" s="14" t="s">
        <v>1407</v>
      </c>
      <c r="P40" s="14"/>
      <c r="Q40" s="14"/>
      <c r="R40" s="14"/>
      <c r="S40" s="14">
        <v>2</v>
      </c>
      <c r="T40" s="14" t="s">
        <v>1428</v>
      </c>
      <c r="U40" s="14"/>
      <c r="V40" s="14" t="s">
        <v>341</v>
      </c>
      <c r="W40" s="17">
        <v>0.65</v>
      </c>
      <c r="X40" s="17">
        <v>0.4</v>
      </c>
      <c r="Y40" s="17">
        <v>0.1</v>
      </c>
      <c r="Z40" s="17">
        <v>0.75</v>
      </c>
      <c r="AA40" s="18" t="b">
        <f>TRUE()</f>
        <v>1</v>
      </c>
      <c r="AB40" s="18" t="s">
        <v>246</v>
      </c>
      <c r="AC40" s="19">
        <v>8.7999999999999995E-2</v>
      </c>
      <c r="AD40" s="19">
        <v>8.7999999999999995E-2</v>
      </c>
      <c r="AE40" s="19">
        <v>0.26500000000000001</v>
      </c>
      <c r="AF40" s="19">
        <v>8.7999999999999995E-2</v>
      </c>
      <c r="AG40" s="19">
        <v>8.7999999999999995E-2</v>
      </c>
      <c r="AH40" s="19">
        <v>0.20599999999999999</v>
      </c>
      <c r="AI40" s="19">
        <v>8.7999999999999995E-2</v>
      </c>
      <c r="AJ40" s="19">
        <v>8.7999999999999995E-2</v>
      </c>
      <c r="AK40" s="18" t="s">
        <v>342</v>
      </c>
      <c r="BF40" t="s">
        <v>99</v>
      </c>
      <c r="BH40" t="s">
        <v>334</v>
      </c>
      <c r="BI40" t="s">
        <v>1409</v>
      </c>
    </row>
    <row r="41" spans="1:62" ht="30" customHeight="1" x14ac:dyDescent="0.2">
      <c r="A41" s="25" t="s">
        <v>1442</v>
      </c>
      <c r="B41" s="14" t="s">
        <v>1443</v>
      </c>
      <c r="C41" s="15">
        <v>1890</v>
      </c>
      <c r="D41" s="14" t="s">
        <v>1444</v>
      </c>
      <c r="E41" s="14" t="s">
        <v>231</v>
      </c>
      <c r="F41" s="14" t="s">
        <v>253</v>
      </c>
      <c r="G41" s="14" t="s">
        <v>403</v>
      </c>
      <c r="H41" s="14" t="s">
        <v>91</v>
      </c>
      <c r="I41" s="14"/>
      <c r="J41" s="14" t="s">
        <v>1438</v>
      </c>
      <c r="K41" s="14" t="s">
        <v>330</v>
      </c>
      <c r="L41" s="14"/>
      <c r="M41" s="16" t="s">
        <v>1445</v>
      </c>
      <c r="N41" s="14" t="s">
        <v>256</v>
      </c>
      <c r="O41" s="14" t="s">
        <v>1407</v>
      </c>
      <c r="P41" s="14"/>
      <c r="Q41" s="14"/>
      <c r="R41" s="14"/>
      <c r="S41" s="14">
        <v>2</v>
      </c>
      <c r="T41" s="14" t="s">
        <v>1446</v>
      </c>
      <c r="U41" s="14"/>
      <c r="V41" s="14" t="s">
        <v>341</v>
      </c>
      <c r="W41" s="17">
        <v>0.65</v>
      </c>
      <c r="X41" s="17">
        <v>0.4</v>
      </c>
      <c r="Y41" s="17">
        <v>0.1</v>
      </c>
      <c r="Z41" s="17">
        <v>0.75</v>
      </c>
      <c r="AA41" s="18" t="b">
        <f>TRUE()</f>
        <v>1</v>
      </c>
      <c r="AB41" s="18" t="s">
        <v>246</v>
      </c>
      <c r="AC41" s="19">
        <v>8.7999999999999995E-2</v>
      </c>
      <c r="AD41" s="19">
        <v>8.7999999999999995E-2</v>
      </c>
      <c r="AE41" s="19">
        <v>0.26500000000000001</v>
      </c>
      <c r="AF41" s="19">
        <v>8.7999999999999995E-2</v>
      </c>
      <c r="AG41" s="19">
        <v>8.7999999999999995E-2</v>
      </c>
      <c r="AH41" s="19">
        <v>0.20599999999999999</v>
      </c>
      <c r="AI41" s="19">
        <v>8.7999999999999995E-2</v>
      </c>
      <c r="AJ41" s="19">
        <v>8.7999999999999995E-2</v>
      </c>
      <c r="AK41" s="18" t="s">
        <v>342</v>
      </c>
      <c r="BF41" t="s">
        <v>99</v>
      </c>
      <c r="BH41" t="s">
        <v>334</v>
      </c>
      <c r="BI41" t="s">
        <v>1434</v>
      </c>
    </row>
    <row r="42" spans="1:62" ht="30" customHeight="1" x14ac:dyDescent="0.2">
      <c r="A42" s="25" t="s">
        <v>1468</v>
      </c>
      <c r="B42" s="21" t="s">
        <v>1469</v>
      </c>
      <c r="C42" s="22">
        <v>1924</v>
      </c>
      <c r="D42" s="21" t="s">
        <v>1470</v>
      </c>
      <c r="E42" s="21" t="s">
        <v>737</v>
      </c>
      <c r="F42" s="21" t="s">
        <v>447</v>
      </c>
      <c r="G42" s="21"/>
      <c r="H42" s="21"/>
      <c r="I42" s="21"/>
      <c r="J42" s="21"/>
      <c r="K42" s="21"/>
      <c r="L42" s="21"/>
      <c r="M42" s="23" t="s">
        <v>1458</v>
      </c>
      <c r="N42" s="21" t="s">
        <v>192</v>
      </c>
      <c r="O42" s="21" t="s">
        <v>1180</v>
      </c>
      <c r="P42" s="21"/>
      <c r="Q42" s="21"/>
      <c r="R42" s="21"/>
      <c r="S42" s="21">
        <v>1</v>
      </c>
      <c r="T42" s="21" t="s">
        <v>1459</v>
      </c>
      <c r="U42" s="21"/>
      <c r="V42" s="21" t="s">
        <v>1460</v>
      </c>
      <c r="W42" s="17">
        <v>0.55000000000000004</v>
      </c>
      <c r="X42" s="17">
        <v>0.4</v>
      </c>
      <c r="Y42" s="17">
        <v>0.3</v>
      </c>
      <c r="Z42" s="17">
        <v>0.85</v>
      </c>
      <c r="AA42" s="18" t="b">
        <f>TRUE()</f>
        <v>1</v>
      </c>
      <c r="AB42" s="18" t="s">
        <v>246</v>
      </c>
      <c r="AC42" s="19">
        <v>0.30599999999999999</v>
      </c>
      <c r="AD42" s="19">
        <v>0.19400000000000001</v>
      </c>
      <c r="AE42" s="19">
        <v>8.3000000000000004E-2</v>
      </c>
      <c r="AF42" s="19">
        <v>8.3000000000000004E-2</v>
      </c>
      <c r="AG42" s="19">
        <v>8.3000000000000004E-2</v>
      </c>
      <c r="AH42" s="19">
        <v>8.3000000000000004E-2</v>
      </c>
      <c r="AI42" s="19">
        <v>8.3000000000000004E-2</v>
      </c>
      <c r="AJ42" s="19">
        <v>8.3000000000000004E-2</v>
      </c>
      <c r="AK42" s="18" t="s">
        <v>333</v>
      </c>
      <c r="BF42" t="s">
        <v>99</v>
      </c>
      <c r="BH42" t="s">
        <v>334</v>
      </c>
      <c r="BI42" t="s">
        <v>1461</v>
      </c>
    </row>
    <row r="43" spans="1:62" ht="30" customHeight="1" x14ac:dyDescent="0.2">
      <c r="A43" s="20" t="s">
        <v>406</v>
      </c>
      <c r="B43" s="21" t="s">
        <v>407</v>
      </c>
      <c r="C43" s="22" t="s">
        <v>356</v>
      </c>
      <c r="D43" s="21" t="s">
        <v>408</v>
      </c>
      <c r="E43" s="21" t="s">
        <v>231</v>
      </c>
      <c r="F43" s="21" t="s">
        <v>253</v>
      </c>
      <c r="G43" s="21" t="s">
        <v>329</v>
      </c>
      <c r="H43" s="21" t="s">
        <v>91</v>
      </c>
      <c r="I43" s="21"/>
      <c r="J43" s="21" t="s">
        <v>409</v>
      </c>
      <c r="K43" s="21" t="s">
        <v>330</v>
      </c>
      <c r="L43" s="21"/>
      <c r="M43" s="23" t="s">
        <v>410</v>
      </c>
      <c r="N43" s="21" t="s">
        <v>256</v>
      </c>
      <c r="O43" s="21" t="s">
        <v>411</v>
      </c>
      <c r="P43" s="21"/>
      <c r="Q43" s="21"/>
      <c r="R43" s="21"/>
      <c r="S43" s="21">
        <v>2</v>
      </c>
      <c r="T43" s="21"/>
      <c r="U43" s="21"/>
      <c r="V43" s="14" t="s">
        <v>97</v>
      </c>
      <c r="W43" s="17">
        <v>0.6</v>
      </c>
      <c r="X43" s="17">
        <v>0.4</v>
      </c>
      <c r="Y43" s="17">
        <v>0.1</v>
      </c>
      <c r="Z43" s="17">
        <v>0.7</v>
      </c>
      <c r="AA43" s="18" t="b">
        <f>FALSE()</f>
        <v>0</v>
      </c>
      <c r="AB43" s="18" t="s">
        <v>98</v>
      </c>
      <c r="AC43" s="19">
        <v>8.7999999999999995E-2</v>
      </c>
      <c r="AD43" s="19">
        <v>8.7999999999999995E-2</v>
      </c>
      <c r="AE43" s="19">
        <v>0.26500000000000001</v>
      </c>
      <c r="AF43" s="19">
        <v>8.7999999999999995E-2</v>
      </c>
      <c r="AG43" s="19">
        <v>8.7999999999999995E-2</v>
      </c>
      <c r="AH43" s="19">
        <v>0.20599999999999999</v>
      </c>
      <c r="AI43" s="19">
        <v>8.7999999999999995E-2</v>
      </c>
      <c r="AJ43" s="19">
        <v>8.7999999999999995E-2</v>
      </c>
      <c r="AK43" s="18" t="s">
        <v>342</v>
      </c>
      <c r="BF43" t="s">
        <v>99</v>
      </c>
      <c r="BH43" t="s">
        <v>334</v>
      </c>
      <c r="BI43" t="s">
        <v>412</v>
      </c>
    </row>
    <row r="44" spans="1:62" ht="30" customHeight="1" x14ac:dyDescent="0.2">
      <c r="A44" s="13" t="s">
        <v>413</v>
      </c>
      <c r="B44" s="14" t="s">
        <v>414</v>
      </c>
      <c r="C44" s="15" t="s">
        <v>415</v>
      </c>
      <c r="D44" s="14" t="s">
        <v>416</v>
      </c>
      <c r="E44" s="14" t="s">
        <v>231</v>
      </c>
      <c r="F44" s="14" t="s">
        <v>253</v>
      </c>
      <c r="G44" s="14" t="s">
        <v>131</v>
      </c>
      <c r="H44" s="14" t="s">
        <v>91</v>
      </c>
      <c r="I44" s="14"/>
      <c r="J44" s="14" t="s">
        <v>417</v>
      </c>
      <c r="K44" s="14" t="s">
        <v>330</v>
      </c>
      <c r="L44" s="14"/>
      <c r="M44" s="16" t="s">
        <v>418</v>
      </c>
      <c r="N44" s="14" t="s">
        <v>256</v>
      </c>
      <c r="O44" s="14" t="s">
        <v>419</v>
      </c>
      <c r="P44" s="14"/>
      <c r="Q44" s="14"/>
      <c r="R44" s="14"/>
      <c r="S44" s="14">
        <v>1</v>
      </c>
      <c r="T44" s="14"/>
      <c r="U44" s="14"/>
      <c r="V44" s="14" t="s">
        <v>97</v>
      </c>
      <c r="W44" s="17">
        <v>0.6</v>
      </c>
      <c r="X44" s="17">
        <v>0.4</v>
      </c>
      <c r="Y44" s="17">
        <v>0.1</v>
      </c>
      <c r="Z44" s="17">
        <v>0.7</v>
      </c>
      <c r="AA44" s="18" t="b">
        <f>FALSE()</f>
        <v>0</v>
      </c>
      <c r="AB44" s="18" t="s">
        <v>98</v>
      </c>
      <c r="AC44" s="19">
        <v>8.7999999999999995E-2</v>
      </c>
      <c r="AD44" s="19">
        <v>8.7999999999999995E-2</v>
      </c>
      <c r="AE44" s="19">
        <v>0.26500000000000001</v>
      </c>
      <c r="AF44" s="19">
        <v>8.7999999999999995E-2</v>
      </c>
      <c r="AG44" s="19">
        <v>8.7999999999999995E-2</v>
      </c>
      <c r="AH44" s="19">
        <v>0.20599999999999999</v>
      </c>
      <c r="AI44" s="19">
        <v>8.7999999999999995E-2</v>
      </c>
      <c r="AJ44" s="19">
        <v>8.7999999999999995E-2</v>
      </c>
      <c r="AK44" s="18" t="s">
        <v>342</v>
      </c>
      <c r="BF44" t="s">
        <v>99</v>
      </c>
      <c r="BH44" t="s">
        <v>100</v>
      </c>
      <c r="BI44" t="s">
        <v>101</v>
      </c>
    </row>
    <row r="45" spans="1:62" ht="30" customHeight="1" x14ac:dyDescent="0.2">
      <c r="A45" s="20" t="s">
        <v>420</v>
      </c>
      <c r="B45" s="21" t="s">
        <v>421</v>
      </c>
      <c r="C45" s="22" t="s">
        <v>374</v>
      </c>
      <c r="D45" s="21" t="s">
        <v>422</v>
      </c>
      <c r="E45" s="21" t="s">
        <v>231</v>
      </c>
      <c r="F45" s="21" t="s">
        <v>253</v>
      </c>
      <c r="G45" s="21" t="s">
        <v>131</v>
      </c>
      <c r="H45" s="21" t="s">
        <v>91</v>
      </c>
      <c r="I45" s="21"/>
      <c r="J45" s="21" t="s">
        <v>417</v>
      </c>
      <c r="K45" s="21" t="s">
        <v>330</v>
      </c>
      <c r="L45" s="21"/>
      <c r="M45" s="23" t="s">
        <v>423</v>
      </c>
      <c r="N45" s="21" t="s">
        <v>256</v>
      </c>
      <c r="O45" s="21" t="s">
        <v>424</v>
      </c>
      <c r="P45" s="21"/>
      <c r="Q45" s="21"/>
      <c r="R45" s="21"/>
      <c r="S45" s="21">
        <v>1</v>
      </c>
      <c r="T45" s="21"/>
      <c r="U45" s="21"/>
      <c r="V45" s="14" t="s">
        <v>97</v>
      </c>
      <c r="W45" s="17">
        <v>0.6</v>
      </c>
      <c r="X45" s="17">
        <v>0.4</v>
      </c>
      <c r="Y45" s="17">
        <v>0.1</v>
      </c>
      <c r="Z45" s="17">
        <v>0.7</v>
      </c>
      <c r="AA45" s="18" t="b">
        <f>FALSE()</f>
        <v>0</v>
      </c>
      <c r="AB45" s="18" t="s">
        <v>98</v>
      </c>
      <c r="AC45" s="19">
        <v>8.7999999999999995E-2</v>
      </c>
      <c r="AD45" s="19">
        <v>8.7999999999999995E-2</v>
      </c>
      <c r="AE45" s="19">
        <v>0.26500000000000001</v>
      </c>
      <c r="AF45" s="19">
        <v>8.7999999999999995E-2</v>
      </c>
      <c r="AG45" s="19">
        <v>8.7999999999999995E-2</v>
      </c>
      <c r="AH45" s="19">
        <v>0.20599999999999999</v>
      </c>
      <c r="AI45" s="19">
        <v>8.7999999999999995E-2</v>
      </c>
      <c r="AJ45" s="19">
        <v>8.7999999999999995E-2</v>
      </c>
      <c r="AK45" s="18" t="s">
        <v>342</v>
      </c>
      <c r="BF45" t="s">
        <v>99</v>
      </c>
      <c r="BH45" t="s">
        <v>100</v>
      </c>
      <c r="BI45" t="s">
        <v>101</v>
      </c>
    </row>
    <row r="46" spans="1:62" ht="30" customHeight="1" x14ac:dyDescent="0.2">
      <c r="A46" s="13" t="s">
        <v>425</v>
      </c>
      <c r="B46" s="14" t="s">
        <v>426</v>
      </c>
      <c r="C46" s="15" t="s">
        <v>117</v>
      </c>
      <c r="D46" s="14" t="s">
        <v>427</v>
      </c>
      <c r="E46" s="14" t="s">
        <v>231</v>
      </c>
      <c r="F46" s="14" t="s">
        <v>253</v>
      </c>
      <c r="G46" s="14" t="s">
        <v>131</v>
      </c>
      <c r="H46" s="14" t="s">
        <v>91</v>
      </c>
      <c r="I46" s="14"/>
      <c r="J46" s="14" t="s">
        <v>132</v>
      </c>
      <c r="K46" s="14" t="s">
        <v>330</v>
      </c>
      <c r="L46" s="14"/>
      <c r="M46" s="16" t="s">
        <v>428</v>
      </c>
      <c r="N46" s="14" t="s">
        <v>256</v>
      </c>
      <c r="O46" s="14" t="s">
        <v>298</v>
      </c>
      <c r="P46" s="14"/>
      <c r="Q46" s="14"/>
      <c r="R46" s="14"/>
      <c r="S46" s="14">
        <v>2</v>
      </c>
      <c r="T46" s="14"/>
      <c r="U46" s="14"/>
      <c r="V46" s="14" t="s">
        <v>97</v>
      </c>
      <c r="W46" s="17">
        <v>0.6</v>
      </c>
      <c r="X46" s="17">
        <v>0.4</v>
      </c>
      <c r="Y46" s="17">
        <v>0.1</v>
      </c>
      <c r="Z46" s="17">
        <v>0.7</v>
      </c>
      <c r="AA46" s="18" t="b">
        <f>FALSE()</f>
        <v>0</v>
      </c>
      <c r="AB46" s="18" t="s">
        <v>98</v>
      </c>
      <c r="AC46" s="19">
        <v>8.7999999999999995E-2</v>
      </c>
      <c r="AD46" s="19">
        <v>8.7999999999999995E-2</v>
      </c>
      <c r="AE46" s="19">
        <v>0.26500000000000001</v>
      </c>
      <c r="AF46" s="19">
        <v>8.7999999999999995E-2</v>
      </c>
      <c r="AG46" s="19">
        <v>8.7999999999999995E-2</v>
      </c>
      <c r="AH46" s="19">
        <v>0.20599999999999999</v>
      </c>
      <c r="AI46" s="19">
        <v>8.7999999999999995E-2</v>
      </c>
      <c r="AJ46" s="19">
        <v>8.7999999999999995E-2</v>
      </c>
      <c r="AK46" s="18" t="s">
        <v>342</v>
      </c>
      <c r="BF46" t="s">
        <v>99</v>
      </c>
      <c r="BH46" t="s">
        <v>100</v>
      </c>
      <c r="BI46" t="s">
        <v>101</v>
      </c>
    </row>
    <row r="47" spans="1:62" ht="30" customHeight="1" x14ac:dyDescent="0.2">
      <c r="A47" s="25" t="s">
        <v>1455</v>
      </c>
      <c r="B47" s="21" t="s">
        <v>1456</v>
      </c>
      <c r="C47" s="22">
        <v>1925</v>
      </c>
      <c r="D47" s="21" t="s">
        <v>1457</v>
      </c>
      <c r="E47" s="21" t="s">
        <v>737</v>
      </c>
      <c r="F47" s="21" t="s">
        <v>447</v>
      </c>
      <c r="G47" s="21"/>
      <c r="H47" s="21"/>
      <c r="I47" s="21"/>
      <c r="J47" s="21"/>
      <c r="K47" s="21"/>
      <c r="L47" s="21"/>
      <c r="M47" s="23" t="s">
        <v>1458</v>
      </c>
      <c r="N47" s="21" t="s">
        <v>192</v>
      </c>
      <c r="O47" s="21" t="s">
        <v>1180</v>
      </c>
      <c r="P47" s="21"/>
      <c r="Q47" s="21"/>
      <c r="R47" s="21"/>
      <c r="S47" s="21">
        <v>1</v>
      </c>
      <c r="T47" s="21" t="s">
        <v>1459</v>
      </c>
      <c r="U47" s="21"/>
      <c r="V47" s="21" t="s">
        <v>1460</v>
      </c>
      <c r="W47" s="17">
        <v>0.55000000000000004</v>
      </c>
      <c r="X47" s="17">
        <v>0.4</v>
      </c>
      <c r="Y47" s="17">
        <v>0.3</v>
      </c>
      <c r="Z47" s="17">
        <v>0.85</v>
      </c>
      <c r="AA47" s="18" t="b">
        <f>TRUE()</f>
        <v>1</v>
      </c>
      <c r="AB47" s="18" t="s">
        <v>246</v>
      </c>
      <c r="AC47" s="19">
        <v>0.30599999999999999</v>
      </c>
      <c r="AD47" s="19">
        <v>0.19400000000000001</v>
      </c>
      <c r="AE47" s="19">
        <v>8.3000000000000004E-2</v>
      </c>
      <c r="AF47" s="19">
        <v>8.3000000000000004E-2</v>
      </c>
      <c r="AG47" s="19">
        <v>8.3000000000000004E-2</v>
      </c>
      <c r="AH47" s="19">
        <v>8.3000000000000004E-2</v>
      </c>
      <c r="AI47" s="19">
        <v>8.3000000000000004E-2</v>
      </c>
      <c r="AJ47" s="19">
        <v>8.3000000000000004E-2</v>
      </c>
      <c r="AK47" s="18" t="s">
        <v>333</v>
      </c>
      <c r="BF47" t="s">
        <v>99</v>
      </c>
      <c r="BH47" t="s">
        <v>334</v>
      </c>
      <c r="BI47" t="s">
        <v>1461</v>
      </c>
    </row>
    <row r="48" spans="1:62" ht="30" customHeight="1" x14ac:dyDescent="0.2">
      <c r="A48" s="13" t="s">
        <v>437</v>
      </c>
      <c r="B48" s="14" t="s">
        <v>438</v>
      </c>
      <c r="C48" s="15" t="s">
        <v>439</v>
      </c>
      <c r="D48" s="14" t="s">
        <v>440</v>
      </c>
      <c r="E48" s="14" t="s">
        <v>231</v>
      </c>
      <c r="F48" s="14" t="s">
        <v>189</v>
      </c>
      <c r="G48" s="14" t="s">
        <v>131</v>
      </c>
      <c r="H48" s="14" t="s">
        <v>91</v>
      </c>
      <c r="I48" s="14"/>
      <c r="J48" s="14" t="s">
        <v>132</v>
      </c>
      <c r="K48" s="14" t="s">
        <v>330</v>
      </c>
      <c r="L48" s="14"/>
      <c r="M48" s="16" t="s">
        <v>441</v>
      </c>
      <c r="N48" s="14" t="s">
        <v>192</v>
      </c>
      <c r="O48" s="14" t="s">
        <v>144</v>
      </c>
      <c r="P48" s="14"/>
      <c r="Q48" s="14"/>
      <c r="R48" s="14"/>
      <c r="S48" s="14">
        <v>2</v>
      </c>
      <c r="T48" s="14"/>
      <c r="U48" s="14"/>
      <c r="V48" s="14" t="s">
        <v>97</v>
      </c>
      <c r="W48" s="17">
        <v>0.45</v>
      </c>
      <c r="X48" s="17">
        <v>0.4</v>
      </c>
      <c r="Y48" s="17">
        <v>0.42</v>
      </c>
      <c r="Z48" s="17">
        <v>0.5</v>
      </c>
      <c r="AA48" s="18" t="b">
        <f>FALSE()</f>
        <v>0</v>
      </c>
      <c r="AB48" s="18" t="s">
        <v>98</v>
      </c>
      <c r="AC48" s="19">
        <v>8.7999999999999995E-2</v>
      </c>
      <c r="AD48" s="19">
        <v>8.7999999999999995E-2</v>
      </c>
      <c r="AE48" s="19">
        <v>8.7999999999999995E-2</v>
      </c>
      <c r="AF48" s="19">
        <v>0.20599999999999999</v>
      </c>
      <c r="AG48" s="19">
        <v>8.7999999999999995E-2</v>
      </c>
      <c r="AH48" s="19">
        <v>0.20599999999999999</v>
      </c>
      <c r="AI48" s="19">
        <v>0.14699999999999999</v>
      </c>
      <c r="AJ48" s="19">
        <v>8.7999999999999995E-2</v>
      </c>
      <c r="AK48" s="18" t="s">
        <v>442</v>
      </c>
      <c r="BF48" t="s">
        <v>99</v>
      </c>
      <c r="BH48" t="s">
        <v>100</v>
      </c>
      <c r="BI48" t="s">
        <v>101</v>
      </c>
    </row>
    <row r="49" spans="1:62" ht="30" customHeight="1" x14ac:dyDescent="0.2">
      <c r="A49" s="101" t="s">
        <v>1462</v>
      </c>
      <c r="B49" s="14" t="s">
        <v>1463</v>
      </c>
      <c r="C49" s="15">
        <v>1939</v>
      </c>
      <c r="D49" s="14" t="s">
        <v>1464</v>
      </c>
      <c r="E49" s="14" t="s">
        <v>231</v>
      </c>
      <c r="F49" s="14" t="s">
        <v>253</v>
      </c>
      <c r="G49" s="14" t="s">
        <v>403</v>
      </c>
      <c r="H49" s="14" t="s">
        <v>91</v>
      </c>
      <c r="I49" s="14"/>
      <c r="J49" s="14" t="s">
        <v>1438</v>
      </c>
      <c r="K49" s="14" t="s">
        <v>330</v>
      </c>
      <c r="L49" s="14"/>
      <c r="M49" s="16" t="s">
        <v>1465</v>
      </c>
      <c r="N49" s="14" t="s">
        <v>256</v>
      </c>
      <c r="O49" s="14" t="s">
        <v>1407</v>
      </c>
      <c r="P49" s="14"/>
      <c r="Q49" s="14"/>
      <c r="R49" s="14"/>
      <c r="S49" s="14">
        <v>2</v>
      </c>
      <c r="T49" s="14" t="s">
        <v>1466</v>
      </c>
      <c r="U49" s="14"/>
      <c r="V49" s="14" t="s">
        <v>341</v>
      </c>
      <c r="W49" s="17">
        <v>0.65</v>
      </c>
      <c r="X49" s="17">
        <v>0.4</v>
      </c>
      <c r="Y49" s="17">
        <v>0.1</v>
      </c>
      <c r="Z49" s="17">
        <v>0.75</v>
      </c>
      <c r="AA49" s="18" t="b">
        <f>TRUE()</f>
        <v>1</v>
      </c>
      <c r="AB49" s="18" t="s">
        <v>246</v>
      </c>
      <c r="AC49" s="19">
        <v>8.7999999999999995E-2</v>
      </c>
      <c r="AD49" s="19">
        <v>8.7999999999999995E-2</v>
      </c>
      <c r="AE49" s="19">
        <v>0.26500000000000001</v>
      </c>
      <c r="AF49" s="19">
        <v>8.7999999999999995E-2</v>
      </c>
      <c r="AG49" s="19">
        <v>8.7999999999999995E-2</v>
      </c>
      <c r="AH49" s="19">
        <v>0.20599999999999999</v>
      </c>
      <c r="AI49" s="19">
        <v>8.7999999999999995E-2</v>
      </c>
      <c r="AJ49" s="19">
        <v>8.7999999999999995E-2</v>
      </c>
      <c r="AK49" s="18" t="s">
        <v>342</v>
      </c>
      <c r="BF49" t="s">
        <v>99</v>
      </c>
      <c r="BH49" t="s">
        <v>334</v>
      </c>
      <c r="BI49" t="s">
        <v>1467</v>
      </c>
    </row>
    <row r="50" spans="1:62" ht="30" customHeight="1" x14ac:dyDescent="0.2">
      <c r="A50" s="13" t="s">
        <v>453</v>
      </c>
      <c r="B50" s="14" t="s">
        <v>454</v>
      </c>
      <c r="C50" s="15" t="s">
        <v>136</v>
      </c>
      <c r="D50" s="14" t="s">
        <v>455</v>
      </c>
      <c r="E50" s="14" t="s">
        <v>231</v>
      </c>
      <c r="F50" s="14" t="s">
        <v>447</v>
      </c>
      <c r="G50" s="14" t="s">
        <v>131</v>
      </c>
      <c r="H50" s="14" t="s">
        <v>91</v>
      </c>
      <c r="I50" s="14"/>
      <c r="J50" s="14" t="s">
        <v>132</v>
      </c>
      <c r="K50" s="14" t="s">
        <v>448</v>
      </c>
      <c r="L50" s="14"/>
      <c r="M50" s="16" t="s">
        <v>456</v>
      </c>
      <c r="N50" s="14" t="s">
        <v>192</v>
      </c>
      <c r="O50" s="14" t="s">
        <v>457</v>
      </c>
      <c r="P50" s="14"/>
      <c r="Q50" s="14"/>
      <c r="R50" s="14"/>
      <c r="S50" s="14">
        <v>3</v>
      </c>
      <c r="T50" s="14"/>
      <c r="U50" s="14"/>
      <c r="V50" s="14" t="s">
        <v>97</v>
      </c>
      <c r="W50" s="17">
        <v>0.55000000000000004</v>
      </c>
      <c r="X50" s="17">
        <v>0.4</v>
      </c>
      <c r="Y50" s="17">
        <v>0.3</v>
      </c>
      <c r="Z50" s="17">
        <v>0.95</v>
      </c>
      <c r="AA50" s="18" t="b">
        <f>FALSE()</f>
        <v>0</v>
      </c>
      <c r="AB50" s="18" t="s">
        <v>98</v>
      </c>
      <c r="AC50" s="19">
        <v>0.51500000000000001</v>
      </c>
      <c r="AD50" s="19">
        <v>0.39400000000000002</v>
      </c>
      <c r="AE50" s="19">
        <v>9.0999999999999998E-2</v>
      </c>
      <c r="AF50" s="19">
        <v>0</v>
      </c>
      <c r="AG50" s="19">
        <v>0</v>
      </c>
      <c r="AH50" s="19">
        <v>0</v>
      </c>
      <c r="AI50" s="19">
        <v>0</v>
      </c>
      <c r="AJ50" s="19">
        <v>0</v>
      </c>
      <c r="AK50" s="18" t="s">
        <v>333</v>
      </c>
      <c r="BF50" t="s">
        <v>99</v>
      </c>
      <c r="BH50" t="s">
        <v>100</v>
      </c>
      <c r="BI50" t="s">
        <v>101</v>
      </c>
    </row>
    <row r="51" spans="1:62" ht="30" customHeight="1" x14ac:dyDescent="0.2">
      <c r="A51" s="13" t="s">
        <v>832</v>
      </c>
      <c r="B51" s="14" t="s">
        <v>833</v>
      </c>
      <c r="C51" s="24">
        <v>1982</v>
      </c>
      <c r="D51" s="14" t="s">
        <v>834</v>
      </c>
      <c r="E51" s="14" t="s">
        <v>788</v>
      </c>
      <c r="F51" s="14" t="s">
        <v>292</v>
      </c>
      <c r="G51" s="14" t="s">
        <v>293</v>
      </c>
      <c r="H51" s="14" t="s">
        <v>91</v>
      </c>
      <c r="I51" s="14" t="s">
        <v>835</v>
      </c>
      <c r="J51" s="14" t="s">
        <v>718</v>
      </c>
      <c r="K51" s="14" t="s">
        <v>295</v>
      </c>
      <c r="L51" s="14"/>
      <c r="M51" s="16" t="s">
        <v>836</v>
      </c>
      <c r="N51" s="14" t="s">
        <v>297</v>
      </c>
      <c r="O51" s="14" t="s">
        <v>837</v>
      </c>
      <c r="P51" s="14"/>
      <c r="Q51" s="14"/>
      <c r="R51" s="14"/>
      <c r="S51" s="14">
        <v>2</v>
      </c>
      <c r="T51" s="14" t="s">
        <v>838</v>
      </c>
      <c r="U51" s="14"/>
      <c r="V51" s="21" t="s">
        <v>97</v>
      </c>
      <c r="W51" s="17">
        <v>0.1</v>
      </c>
      <c r="X51" s="17">
        <v>7.0000000000000007E-2</v>
      </c>
      <c r="Y51" s="17">
        <v>0.27</v>
      </c>
      <c r="Z51" s="17">
        <v>0.05</v>
      </c>
      <c r="AA51" s="18" t="b">
        <f>TRUE()</f>
        <v>1</v>
      </c>
      <c r="AB51" s="18" t="s">
        <v>246</v>
      </c>
      <c r="AC51" s="19">
        <v>0.25</v>
      </c>
      <c r="AD51" s="19">
        <v>0</v>
      </c>
      <c r="AE51" s="19">
        <v>0</v>
      </c>
      <c r="AF51" s="19">
        <v>0</v>
      </c>
      <c r="AG51" s="19">
        <v>0</v>
      </c>
      <c r="AH51" s="19">
        <v>0</v>
      </c>
      <c r="AI51" s="19">
        <v>0.75</v>
      </c>
      <c r="AJ51" s="19">
        <v>0</v>
      </c>
      <c r="AK51" s="18" t="s">
        <v>299</v>
      </c>
      <c r="AL51">
        <v>0.17</v>
      </c>
      <c r="AM51">
        <v>0</v>
      </c>
      <c r="AN51">
        <v>0.33</v>
      </c>
      <c r="AO51">
        <v>0</v>
      </c>
      <c r="AP51">
        <v>0.33</v>
      </c>
      <c r="AQ51">
        <v>0.33</v>
      </c>
      <c r="AR51">
        <v>0</v>
      </c>
      <c r="BF51" t="s">
        <v>247</v>
      </c>
      <c r="BG51" t="s">
        <v>265</v>
      </c>
      <c r="BH51" t="s">
        <v>249</v>
      </c>
      <c r="BI51" t="s">
        <v>839</v>
      </c>
      <c r="BJ51">
        <v>0</v>
      </c>
    </row>
    <row r="52" spans="1:62" ht="30" customHeight="1" x14ac:dyDescent="0.2">
      <c r="A52" s="13" t="s">
        <v>466</v>
      </c>
      <c r="B52" s="14" t="s">
        <v>467</v>
      </c>
      <c r="C52" s="15" t="s">
        <v>162</v>
      </c>
      <c r="D52" s="14" t="s">
        <v>468</v>
      </c>
      <c r="E52" s="14" t="s">
        <v>231</v>
      </c>
      <c r="F52" s="14" t="s">
        <v>447</v>
      </c>
      <c r="G52" s="14" t="s">
        <v>107</v>
      </c>
      <c r="H52" s="14" t="s">
        <v>91</v>
      </c>
      <c r="I52" s="14"/>
      <c r="J52" s="14" t="s">
        <v>132</v>
      </c>
      <c r="K52" s="14" t="s">
        <v>448</v>
      </c>
      <c r="L52" s="14"/>
      <c r="M52" s="16" t="s">
        <v>469</v>
      </c>
      <c r="N52" s="14" t="s">
        <v>192</v>
      </c>
      <c r="O52" s="14" t="s">
        <v>470</v>
      </c>
      <c r="P52" s="14"/>
      <c r="Q52" s="14"/>
      <c r="R52" s="14"/>
      <c r="S52" s="14">
        <v>2</v>
      </c>
      <c r="T52" s="14"/>
      <c r="U52" s="14"/>
      <c r="V52" s="14" t="s">
        <v>97</v>
      </c>
      <c r="W52" s="17">
        <v>0.55000000000000004</v>
      </c>
      <c r="X52" s="17">
        <v>0.4</v>
      </c>
      <c r="Y52" s="17">
        <v>0.3</v>
      </c>
      <c r="Z52" s="17">
        <v>0.95</v>
      </c>
      <c r="AA52" s="18" t="b">
        <f>FALSE()</f>
        <v>0</v>
      </c>
      <c r="AB52" s="18" t="s">
        <v>98</v>
      </c>
      <c r="AC52" s="19">
        <v>0.51500000000000001</v>
      </c>
      <c r="AD52" s="19">
        <v>0.39400000000000002</v>
      </c>
      <c r="AE52" s="19">
        <v>9.0999999999999998E-2</v>
      </c>
      <c r="AF52" s="19">
        <v>0</v>
      </c>
      <c r="AG52" s="19">
        <v>0</v>
      </c>
      <c r="AH52" s="19">
        <v>0</v>
      </c>
      <c r="AI52" s="19">
        <v>0</v>
      </c>
      <c r="AJ52" s="19">
        <v>0</v>
      </c>
      <c r="AK52" s="18" t="s">
        <v>333</v>
      </c>
      <c r="BF52" t="s">
        <v>99</v>
      </c>
      <c r="BH52" t="s">
        <v>100</v>
      </c>
      <c r="BI52" t="s">
        <v>101</v>
      </c>
    </row>
    <row r="53" spans="1:62" ht="30" customHeight="1" x14ac:dyDescent="0.2">
      <c r="A53" s="25" t="s">
        <v>1299</v>
      </c>
      <c r="B53" s="21" t="s">
        <v>1300</v>
      </c>
      <c r="C53" s="22">
        <v>1983</v>
      </c>
      <c r="D53" s="21" t="s">
        <v>1301</v>
      </c>
      <c r="E53" s="21" t="s">
        <v>231</v>
      </c>
      <c r="F53" s="21" t="s">
        <v>447</v>
      </c>
      <c r="G53" s="21" t="s">
        <v>293</v>
      </c>
      <c r="H53" s="21" t="s">
        <v>91</v>
      </c>
      <c r="I53" s="21"/>
      <c r="J53" s="21" t="s">
        <v>718</v>
      </c>
      <c r="K53" s="21" t="s">
        <v>1302</v>
      </c>
      <c r="L53" s="21"/>
      <c r="M53" s="23" t="s">
        <v>1179</v>
      </c>
      <c r="N53" s="21" t="s">
        <v>192</v>
      </c>
      <c r="O53" s="21" t="s">
        <v>1303</v>
      </c>
      <c r="P53" s="21"/>
      <c r="Q53" s="21"/>
      <c r="R53" s="21"/>
      <c r="S53" s="21">
        <v>3</v>
      </c>
      <c r="T53" s="21" t="s">
        <v>1304</v>
      </c>
      <c r="U53" s="21"/>
      <c r="V53" s="21" t="s">
        <v>1305</v>
      </c>
      <c r="W53" s="17">
        <v>0.5</v>
      </c>
      <c r="X53" s="17">
        <v>0.35</v>
      </c>
      <c r="Y53" s="17">
        <v>0.35</v>
      </c>
      <c r="Z53" s="17">
        <v>0.95</v>
      </c>
      <c r="AA53" s="18" t="b">
        <f>TRUE()</f>
        <v>1</v>
      </c>
      <c r="AB53" s="18" t="s">
        <v>246</v>
      </c>
      <c r="AC53" s="19">
        <v>0.66700000000000004</v>
      </c>
      <c r="AD53" s="19">
        <v>0.33300000000000002</v>
      </c>
      <c r="AE53" s="19">
        <v>0</v>
      </c>
      <c r="AF53" s="19">
        <v>0</v>
      </c>
      <c r="AG53" s="19">
        <v>0</v>
      </c>
      <c r="AH53" s="19">
        <v>0</v>
      </c>
      <c r="AI53" s="19">
        <v>0</v>
      </c>
      <c r="AJ53" s="19">
        <v>0</v>
      </c>
      <c r="AK53" s="18" t="s">
        <v>333</v>
      </c>
      <c r="AL53">
        <v>0.33</v>
      </c>
      <c r="AM53">
        <v>0.14000000000000001</v>
      </c>
      <c r="AN53">
        <v>0</v>
      </c>
      <c r="AO53">
        <v>0</v>
      </c>
      <c r="AP53">
        <v>0</v>
      </c>
      <c r="AQ53">
        <v>0.83</v>
      </c>
      <c r="AR53">
        <v>0.28999999999999998</v>
      </c>
      <c r="BF53" t="s">
        <v>247</v>
      </c>
      <c r="BG53" t="s">
        <v>248</v>
      </c>
      <c r="BH53" t="s">
        <v>249</v>
      </c>
      <c r="BI53" t="s">
        <v>1306</v>
      </c>
    </row>
    <row r="54" spans="1:62" ht="30" customHeight="1" x14ac:dyDescent="0.2">
      <c r="A54" s="25" t="s">
        <v>1275</v>
      </c>
      <c r="B54" s="25" t="s">
        <v>1276</v>
      </c>
      <c r="C54" s="25">
        <v>1987</v>
      </c>
      <c r="D54" s="25" t="s">
        <v>1277</v>
      </c>
      <c r="E54" s="14" t="s">
        <v>231</v>
      </c>
      <c r="F54" s="25" t="s">
        <v>1278</v>
      </c>
      <c r="G54" s="25"/>
      <c r="H54" s="25"/>
      <c r="I54" s="25"/>
      <c r="J54" s="25"/>
      <c r="K54" s="25"/>
      <c r="L54" s="25"/>
      <c r="M54" s="25" t="s">
        <v>1279</v>
      </c>
      <c r="N54" s="14" t="s">
        <v>1280</v>
      </c>
      <c r="O54" s="25"/>
      <c r="P54" s="25"/>
      <c r="Q54" s="25" t="s">
        <v>901</v>
      </c>
      <c r="R54" s="25"/>
      <c r="S54" s="14">
        <v>2</v>
      </c>
      <c r="T54" s="25"/>
      <c r="U54" s="25"/>
      <c r="V54" s="25" t="s">
        <v>1025</v>
      </c>
      <c r="W54" s="17">
        <v>0.72</v>
      </c>
      <c r="X54" s="17">
        <v>0.66</v>
      </c>
      <c r="Y54" s="17">
        <v>0.2</v>
      </c>
      <c r="Z54" s="17">
        <v>0.82</v>
      </c>
      <c r="AA54" s="18" t="b">
        <f>TRUE()</f>
        <v>1</v>
      </c>
      <c r="AB54" s="18" t="s">
        <v>246</v>
      </c>
      <c r="AC54" s="19">
        <v>7.9000000000000001E-2</v>
      </c>
      <c r="AD54" s="19">
        <v>7.9000000000000001E-2</v>
      </c>
      <c r="AE54" s="19">
        <v>0.39500000000000002</v>
      </c>
      <c r="AF54" s="19">
        <v>7.9000000000000001E-2</v>
      </c>
      <c r="AG54" s="19">
        <v>7.9000000000000001E-2</v>
      </c>
      <c r="AH54" s="19">
        <v>0.13200000000000001</v>
      </c>
      <c r="AI54" s="19">
        <v>7.9000000000000001E-2</v>
      </c>
      <c r="AJ54" s="19">
        <v>7.9000000000000001E-2</v>
      </c>
      <c r="AK54" s="18" t="s">
        <v>342</v>
      </c>
      <c r="BF54" t="s">
        <v>99</v>
      </c>
      <c r="BH54" t="s">
        <v>334</v>
      </c>
      <c r="BI54" t="s">
        <v>1281</v>
      </c>
    </row>
    <row r="55" spans="1:62" ht="30" customHeight="1" x14ac:dyDescent="0.2">
      <c r="A55" s="25" t="s">
        <v>1292</v>
      </c>
      <c r="B55" s="25" t="s">
        <v>1293</v>
      </c>
      <c r="C55" s="25">
        <v>1989</v>
      </c>
      <c r="D55" s="25" t="s">
        <v>1294</v>
      </c>
      <c r="E55" s="14" t="s">
        <v>231</v>
      </c>
      <c r="F55" s="25" t="s">
        <v>1278</v>
      </c>
      <c r="G55" s="25"/>
      <c r="H55" s="25"/>
      <c r="I55" s="25"/>
      <c r="J55" s="25"/>
      <c r="K55" s="25"/>
      <c r="L55" s="25"/>
      <c r="M55" s="25" t="s">
        <v>1279</v>
      </c>
      <c r="N55" s="14" t="s">
        <v>1280</v>
      </c>
      <c r="O55" s="25"/>
      <c r="P55" s="25"/>
      <c r="Q55" s="25" t="s">
        <v>901</v>
      </c>
      <c r="R55" s="25"/>
      <c r="S55" s="14">
        <v>3</v>
      </c>
      <c r="T55" s="25" t="s">
        <v>1295</v>
      </c>
      <c r="U55" s="25"/>
      <c r="V55" s="25" t="s">
        <v>1025</v>
      </c>
      <c r="W55" s="17">
        <v>0.72</v>
      </c>
      <c r="X55" s="17">
        <v>0.66</v>
      </c>
      <c r="Y55" s="17">
        <v>0.2</v>
      </c>
      <c r="Z55" s="17">
        <v>0.82</v>
      </c>
      <c r="AA55" s="18" t="b">
        <f>TRUE()</f>
        <v>1</v>
      </c>
      <c r="AB55" s="18" t="s">
        <v>246</v>
      </c>
      <c r="AC55" s="19">
        <v>7.9000000000000001E-2</v>
      </c>
      <c r="AD55" s="19">
        <v>7.9000000000000001E-2</v>
      </c>
      <c r="AE55" s="19">
        <v>0.39500000000000002</v>
      </c>
      <c r="AF55" s="19">
        <v>7.9000000000000001E-2</v>
      </c>
      <c r="AG55" s="19">
        <v>7.9000000000000001E-2</v>
      </c>
      <c r="AH55" s="19">
        <v>0.13200000000000001</v>
      </c>
      <c r="AI55" s="19">
        <v>7.9000000000000001E-2</v>
      </c>
      <c r="AJ55" s="19">
        <v>7.9000000000000001E-2</v>
      </c>
      <c r="AK55" s="18" t="s">
        <v>342</v>
      </c>
      <c r="BF55" t="s">
        <v>99</v>
      </c>
      <c r="BH55" t="s">
        <v>334</v>
      </c>
      <c r="BI55" t="s">
        <v>1281</v>
      </c>
    </row>
    <row r="56" spans="1:62" ht="30" customHeight="1" x14ac:dyDescent="0.2">
      <c r="A56" s="20" t="s">
        <v>603</v>
      </c>
      <c r="B56" s="21" t="s">
        <v>604</v>
      </c>
      <c r="C56" s="22" t="s">
        <v>274</v>
      </c>
      <c r="D56" s="21" t="s">
        <v>605</v>
      </c>
      <c r="E56" s="21" t="s">
        <v>524</v>
      </c>
      <c r="F56" s="21" t="s">
        <v>588</v>
      </c>
      <c r="G56" s="21" t="s">
        <v>261</v>
      </c>
      <c r="H56" s="21" t="s">
        <v>91</v>
      </c>
      <c r="I56" s="21" t="s">
        <v>606</v>
      </c>
      <c r="J56" s="21" t="s">
        <v>589</v>
      </c>
      <c r="K56" s="21" t="s">
        <v>204</v>
      </c>
      <c r="L56" s="21" t="s">
        <v>607</v>
      </c>
      <c r="M56" s="23" t="s">
        <v>608</v>
      </c>
      <c r="N56" s="21" t="s">
        <v>199</v>
      </c>
      <c r="O56" s="21" t="s">
        <v>609</v>
      </c>
      <c r="P56" s="21"/>
      <c r="Q56" s="21" t="s">
        <v>113</v>
      </c>
      <c r="R56" s="21" t="s">
        <v>610</v>
      </c>
      <c r="S56" s="21">
        <v>5</v>
      </c>
      <c r="T56" s="21" t="s">
        <v>611</v>
      </c>
      <c r="U56" s="21" t="s">
        <v>612</v>
      </c>
      <c r="V56" s="21" t="s">
        <v>97</v>
      </c>
      <c r="W56" s="17">
        <v>0.81</v>
      </c>
      <c r="X56" s="17">
        <v>0.67</v>
      </c>
      <c r="Y56" s="17">
        <v>0.42</v>
      </c>
      <c r="Z56" s="17">
        <v>0.83</v>
      </c>
      <c r="AA56" s="18" t="b">
        <f>TRUE()</f>
        <v>1</v>
      </c>
      <c r="AB56" s="18" t="s">
        <v>246</v>
      </c>
      <c r="AC56" s="19">
        <v>0</v>
      </c>
      <c r="AD56" s="19">
        <v>0</v>
      </c>
      <c r="AE56" s="19">
        <v>0.214</v>
      </c>
      <c r="AF56" s="19">
        <v>4.8000000000000001E-2</v>
      </c>
      <c r="AG56" s="19">
        <v>0.214</v>
      </c>
      <c r="AH56" s="19">
        <v>0.52400000000000002</v>
      </c>
      <c r="AI56" s="19">
        <v>0</v>
      </c>
      <c r="AJ56" s="19">
        <v>0</v>
      </c>
      <c r="AK56" s="18" t="s">
        <v>193</v>
      </c>
      <c r="AL56" s="19">
        <v>0.83</v>
      </c>
      <c r="AM56" s="19">
        <v>0.56999999999999995</v>
      </c>
      <c r="AN56">
        <v>0.45750000000000002</v>
      </c>
      <c r="AO56">
        <v>0.5</v>
      </c>
      <c r="AP56">
        <v>0.66500000000000004</v>
      </c>
      <c r="AQ56">
        <v>0.5</v>
      </c>
      <c r="AR56">
        <v>0.28999999999999998</v>
      </c>
      <c r="AS56" s="2" t="s">
        <v>204</v>
      </c>
      <c r="AT56" s="2"/>
      <c r="AU56" s="2" t="s">
        <v>613</v>
      </c>
      <c r="AV56" s="2" t="s">
        <v>614</v>
      </c>
      <c r="AW56">
        <f>(0.33+0.5)/2</f>
        <v>0.41500000000000004</v>
      </c>
      <c r="AX56" s="19">
        <v>0.33</v>
      </c>
      <c r="AY56" s="19">
        <v>0.5</v>
      </c>
      <c r="AZ56">
        <v>0.5</v>
      </c>
      <c r="BA56">
        <v>0.67</v>
      </c>
      <c r="BB56">
        <v>0.83</v>
      </c>
      <c r="BF56" t="s">
        <v>247</v>
      </c>
      <c r="BG56" t="s">
        <v>615</v>
      </c>
      <c r="BH56" s="86" t="s">
        <v>2034</v>
      </c>
      <c r="BI56" t="s">
        <v>616</v>
      </c>
    </row>
    <row r="57" spans="1:62" ht="30" customHeight="1" x14ac:dyDescent="0.2">
      <c r="A57" s="20" t="s">
        <v>494</v>
      </c>
      <c r="B57" s="21" t="s">
        <v>495</v>
      </c>
      <c r="C57" s="22" t="s">
        <v>173</v>
      </c>
      <c r="D57" s="21" t="s">
        <v>496</v>
      </c>
      <c r="E57" s="21" t="s">
        <v>231</v>
      </c>
      <c r="F57" s="21" t="s">
        <v>497</v>
      </c>
      <c r="G57" s="21" t="s">
        <v>107</v>
      </c>
      <c r="H57" s="21" t="s">
        <v>108</v>
      </c>
      <c r="I57" s="21"/>
      <c r="J57" s="21" t="s">
        <v>109</v>
      </c>
      <c r="K57" s="21" t="s">
        <v>190</v>
      </c>
      <c r="L57" s="21"/>
      <c r="M57" s="23" t="s">
        <v>498</v>
      </c>
      <c r="N57" s="21" t="s">
        <v>256</v>
      </c>
      <c r="O57" s="21" t="s">
        <v>499</v>
      </c>
      <c r="P57" s="21"/>
      <c r="Q57" s="21" t="s">
        <v>2085</v>
      </c>
      <c r="R57" s="21"/>
      <c r="S57" s="21">
        <v>3</v>
      </c>
      <c r="T57" s="21" t="s">
        <v>500</v>
      </c>
      <c r="U57" s="21"/>
      <c r="V57" s="14" t="s">
        <v>97</v>
      </c>
      <c r="W57" s="17">
        <v>0.5</v>
      </c>
      <c r="X57" s="17">
        <v>0.68</v>
      </c>
      <c r="Y57" s="17">
        <v>0.32</v>
      </c>
      <c r="Z57" s="17">
        <v>0.6</v>
      </c>
      <c r="AA57" s="18" t="b">
        <f>FALSE()</f>
        <v>0</v>
      </c>
      <c r="AB57" s="18" t="s">
        <v>98</v>
      </c>
      <c r="AC57" s="19">
        <v>0</v>
      </c>
      <c r="AD57" s="19">
        <v>0</v>
      </c>
      <c r="AE57" s="19">
        <v>0.1</v>
      </c>
      <c r="AF57" s="19">
        <v>0</v>
      </c>
      <c r="AG57" s="19">
        <v>0</v>
      </c>
      <c r="AH57" s="19">
        <v>0.9</v>
      </c>
      <c r="AI57" s="19">
        <v>0</v>
      </c>
      <c r="AJ57" s="19">
        <v>0</v>
      </c>
      <c r="AK57" s="18" t="s">
        <v>193</v>
      </c>
      <c r="BF57" t="s">
        <v>99</v>
      </c>
      <c r="BH57" t="s">
        <v>100</v>
      </c>
      <c r="BI57" t="s">
        <v>101</v>
      </c>
    </row>
    <row r="58" spans="1:62" ht="30" customHeight="1" x14ac:dyDescent="0.2">
      <c r="A58" s="13" t="s">
        <v>501</v>
      </c>
      <c r="B58" s="14" t="s">
        <v>502</v>
      </c>
      <c r="C58" s="15" t="s">
        <v>503</v>
      </c>
      <c r="D58" s="14" t="s">
        <v>504</v>
      </c>
      <c r="E58" s="14" t="s">
        <v>231</v>
      </c>
      <c r="F58" s="14" t="s">
        <v>497</v>
      </c>
      <c r="G58" s="14" t="s">
        <v>107</v>
      </c>
      <c r="H58" s="14" t="s">
        <v>108</v>
      </c>
      <c r="I58" s="14"/>
      <c r="J58" s="14" t="s">
        <v>109</v>
      </c>
      <c r="K58" s="14" t="s">
        <v>190</v>
      </c>
      <c r="L58" s="14"/>
      <c r="M58" s="16" t="s">
        <v>505</v>
      </c>
      <c r="N58" s="14" t="s">
        <v>256</v>
      </c>
      <c r="O58" s="14" t="s">
        <v>506</v>
      </c>
      <c r="P58" s="14"/>
      <c r="Q58" s="14"/>
      <c r="R58" s="14"/>
      <c r="S58" s="14">
        <v>2</v>
      </c>
      <c r="T58" s="14"/>
      <c r="U58" s="14"/>
      <c r="V58" s="14" t="s">
        <v>97</v>
      </c>
      <c r="W58" s="17">
        <v>0.5</v>
      </c>
      <c r="X58" s="17">
        <v>0.68</v>
      </c>
      <c r="Y58" s="17">
        <v>0.32</v>
      </c>
      <c r="Z58" s="17">
        <v>0.6</v>
      </c>
      <c r="AA58" s="18" t="b">
        <f>FALSE()</f>
        <v>0</v>
      </c>
      <c r="AB58" s="18" t="s">
        <v>98</v>
      </c>
      <c r="AC58" s="19">
        <v>0</v>
      </c>
      <c r="AD58" s="19">
        <v>0</v>
      </c>
      <c r="AE58" s="19">
        <v>0.1</v>
      </c>
      <c r="AF58" s="19">
        <v>0</v>
      </c>
      <c r="AG58" s="19">
        <v>0</v>
      </c>
      <c r="AH58" s="19">
        <v>0.9</v>
      </c>
      <c r="AI58" s="19">
        <v>0</v>
      </c>
      <c r="AJ58" s="19">
        <v>0</v>
      </c>
      <c r="AK58" s="18" t="s">
        <v>193</v>
      </c>
      <c r="BF58" t="s">
        <v>99</v>
      </c>
      <c r="BH58" t="s">
        <v>100</v>
      </c>
      <c r="BI58" t="s">
        <v>101</v>
      </c>
    </row>
    <row r="59" spans="1:62" ht="30" customHeight="1" x14ac:dyDescent="0.2">
      <c r="A59" s="20" t="s">
        <v>507</v>
      </c>
      <c r="B59" s="21" t="s">
        <v>508</v>
      </c>
      <c r="C59" s="22" t="s">
        <v>509</v>
      </c>
      <c r="D59" s="21" t="s">
        <v>510</v>
      </c>
      <c r="E59" s="21" t="s">
        <v>231</v>
      </c>
      <c r="F59" s="21" t="s">
        <v>497</v>
      </c>
      <c r="G59" s="21" t="s">
        <v>150</v>
      </c>
      <c r="H59" s="21" t="s">
        <v>108</v>
      </c>
      <c r="I59" s="21"/>
      <c r="J59" s="21" t="s">
        <v>109</v>
      </c>
      <c r="K59" s="21" t="s">
        <v>190</v>
      </c>
      <c r="L59" s="21"/>
      <c r="M59" s="23" t="s">
        <v>511</v>
      </c>
      <c r="N59" s="21" t="s">
        <v>256</v>
      </c>
      <c r="O59" s="21" t="s">
        <v>324</v>
      </c>
      <c r="P59" s="21"/>
      <c r="Q59" s="21"/>
      <c r="R59" s="21"/>
      <c r="S59" s="21">
        <v>2</v>
      </c>
      <c r="T59" s="21"/>
      <c r="U59" s="21"/>
      <c r="V59" s="14" t="s">
        <v>97</v>
      </c>
      <c r="W59" s="17">
        <v>0.5</v>
      </c>
      <c r="X59" s="17">
        <v>0.68</v>
      </c>
      <c r="Y59" s="17">
        <v>0.32</v>
      </c>
      <c r="Z59" s="17">
        <v>0.6</v>
      </c>
      <c r="AA59" s="18" t="b">
        <f>FALSE()</f>
        <v>0</v>
      </c>
      <c r="AB59" s="18" t="s">
        <v>98</v>
      </c>
      <c r="AC59" s="19">
        <v>0</v>
      </c>
      <c r="AD59" s="19">
        <v>0</v>
      </c>
      <c r="AE59" s="19">
        <v>0.1</v>
      </c>
      <c r="AF59" s="19">
        <v>0</v>
      </c>
      <c r="AG59" s="19">
        <v>0</v>
      </c>
      <c r="AH59" s="19">
        <v>0.9</v>
      </c>
      <c r="AI59" s="19">
        <v>0</v>
      </c>
      <c r="AJ59" s="19">
        <v>0</v>
      </c>
      <c r="AK59" s="18" t="s">
        <v>193</v>
      </c>
      <c r="BF59" t="s">
        <v>99</v>
      </c>
      <c r="BH59" t="s">
        <v>100</v>
      </c>
      <c r="BI59" t="s">
        <v>101</v>
      </c>
    </row>
    <row r="60" spans="1:62" ht="30" customHeight="1" x14ac:dyDescent="0.2">
      <c r="A60" s="20" t="s">
        <v>512</v>
      </c>
      <c r="B60" s="21" t="s">
        <v>513</v>
      </c>
      <c r="C60" s="22" t="s">
        <v>117</v>
      </c>
      <c r="D60" s="21" t="s">
        <v>514</v>
      </c>
      <c r="E60" s="21" t="s">
        <v>231</v>
      </c>
      <c r="F60" s="21" t="s">
        <v>321</v>
      </c>
      <c r="G60" s="21" t="s">
        <v>515</v>
      </c>
      <c r="H60" s="21" t="s">
        <v>516</v>
      </c>
      <c r="I60" s="21"/>
      <c r="J60" s="21" t="s">
        <v>517</v>
      </c>
      <c r="K60" s="21" t="s">
        <v>330</v>
      </c>
      <c r="L60" s="21"/>
      <c r="M60" s="23" t="s">
        <v>518</v>
      </c>
      <c r="N60" s="21" t="s">
        <v>323</v>
      </c>
      <c r="O60" s="21" t="s">
        <v>226</v>
      </c>
      <c r="P60" s="21"/>
      <c r="Q60" s="21"/>
      <c r="R60" s="21"/>
      <c r="S60" s="21">
        <v>1</v>
      </c>
      <c r="T60" s="21" t="s">
        <v>519</v>
      </c>
      <c r="U60" s="21"/>
      <c r="V60" s="14" t="s">
        <v>97</v>
      </c>
      <c r="W60" s="17">
        <v>0.22</v>
      </c>
      <c r="X60" s="17">
        <v>0.32</v>
      </c>
      <c r="Y60" s="17">
        <v>0.32</v>
      </c>
      <c r="Z60" s="17">
        <v>0.5</v>
      </c>
      <c r="AA60" s="18" t="b">
        <f>FALSE()</f>
        <v>0</v>
      </c>
      <c r="AB60" s="18" t="s">
        <v>98</v>
      </c>
      <c r="AC60" s="19">
        <v>0.16700000000000001</v>
      </c>
      <c r="AD60" s="19">
        <v>0.1</v>
      </c>
      <c r="AE60" s="19">
        <v>0.16700000000000001</v>
      </c>
      <c r="AF60" s="19">
        <v>0.16700000000000001</v>
      </c>
      <c r="AG60" s="19">
        <v>0.1</v>
      </c>
      <c r="AH60" s="19">
        <v>0.1</v>
      </c>
      <c r="AI60" s="19">
        <v>0.1</v>
      </c>
      <c r="AJ60" s="19">
        <v>0.1</v>
      </c>
      <c r="AK60" s="18" t="s">
        <v>333</v>
      </c>
      <c r="BF60" t="s">
        <v>99</v>
      </c>
      <c r="BH60" t="s">
        <v>334</v>
      </c>
      <c r="BI60" t="s">
        <v>520</v>
      </c>
    </row>
    <row r="61" spans="1:62" ht="30" customHeight="1" x14ac:dyDescent="0.2">
      <c r="A61" s="20" t="s">
        <v>521</v>
      </c>
      <c r="B61" s="21" t="s">
        <v>522</v>
      </c>
      <c r="C61" s="22" t="s">
        <v>460</v>
      </c>
      <c r="D61" s="21" t="s">
        <v>523</v>
      </c>
      <c r="E61" s="21" t="s">
        <v>524</v>
      </c>
      <c r="F61" s="21" t="s">
        <v>525</v>
      </c>
      <c r="G61" s="21" t="s">
        <v>107</v>
      </c>
      <c r="H61" s="21" t="s">
        <v>108</v>
      </c>
      <c r="I61" s="21"/>
      <c r="J61" s="21" t="s">
        <v>109</v>
      </c>
      <c r="K61" s="21" t="s">
        <v>190</v>
      </c>
      <c r="L61" s="21"/>
      <c r="M61" s="23" t="s">
        <v>526</v>
      </c>
      <c r="N61" s="21" t="s">
        <v>323</v>
      </c>
      <c r="O61" s="21" t="s">
        <v>527</v>
      </c>
      <c r="P61" s="21"/>
      <c r="Q61" s="21" t="s">
        <v>113</v>
      </c>
      <c r="R61" s="21"/>
      <c r="S61" s="21">
        <v>5</v>
      </c>
      <c r="T61" s="21" t="s">
        <v>528</v>
      </c>
      <c r="U61" s="21"/>
      <c r="V61" s="14" t="s">
        <v>97</v>
      </c>
      <c r="W61" s="17">
        <v>0.3</v>
      </c>
      <c r="X61" s="17">
        <v>0.5</v>
      </c>
      <c r="Y61" s="17">
        <v>0.42</v>
      </c>
      <c r="Z61" s="17">
        <v>0.5</v>
      </c>
      <c r="AA61" s="18" t="b">
        <f>FALSE()</f>
        <v>0</v>
      </c>
      <c r="AB61" s="18" t="s">
        <v>98</v>
      </c>
      <c r="AC61" s="19">
        <v>0.2</v>
      </c>
      <c r="AD61" s="19">
        <v>0.2</v>
      </c>
      <c r="AE61" s="19">
        <v>0.1</v>
      </c>
      <c r="AF61" s="19">
        <v>0</v>
      </c>
      <c r="AG61" s="19">
        <v>0</v>
      </c>
      <c r="AH61" s="19">
        <v>0.5</v>
      </c>
      <c r="AI61" s="19">
        <v>0</v>
      </c>
      <c r="AJ61" s="19">
        <v>0</v>
      </c>
      <c r="AK61" s="18" t="s">
        <v>193</v>
      </c>
      <c r="BF61" t="s">
        <v>99</v>
      </c>
      <c r="BH61" t="s">
        <v>100</v>
      </c>
      <c r="BI61" t="s">
        <v>101</v>
      </c>
    </row>
    <row r="62" spans="1:62" ht="30" customHeight="1" x14ac:dyDescent="0.2">
      <c r="A62" s="13" t="s">
        <v>529</v>
      </c>
      <c r="B62" s="14" t="s">
        <v>530</v>
      </c>
      <c r="C62" s="15" t="s">
        <v>141</v>
      </c>
      <c r="D62" s="14" t="s">
        <v>531</v>
      </c>
      <c r="E62" s="14" t="s">
        <v>524</v>
      </c>
      <c r="F62" s="14" t="s">
        <v>197</v>
      </c>
      <c r="G62" s="14" t="s">
        <v>131</v>
      </c>
      <c r="H62" s="14" t="s">
        <v>254</v>
      </c>
      <c r="I62" s="14"/>
      <c r="J62" s="14" t="s">
        <v>132</v>
      </c>
      <c r="K62" s="14" t="s">
        <v>204</v>
      </c>
      <c r="L62" s="14"/>
      <c r="M62" s="16" t="s">
        <v>532</v>
      </c>
      <c r="N62" s="14" t="s">
        <v>199</v>
      </c>
      <c r="O62" s="14" t="s">
        <v>533</v>
      </c>
      <c r="P62" s="14"/>
      <c r="Q62" s="14"/>
      <c r="R62" s="14"/>
      <c r="S62" s="14">
        <v>5</v>
      </c>
      <c r="T62" s="14" t="s">
        <v>534</v>
      </c>
      <c r="U62" s="14"/>
      <c r="V62" s="14" t="s">
        <v>97</v>
      </c>
      <c r="W62" s="17">
        <v>0.67</v>
      </c>
      <c r="X62" s="17">
        <v>0.55000000000000004</v>
      </c>
      <c r="Y62" s="17">
        <v>0.32</v>
      </c>
      <c r="Z62" s="17">
        <v>0.73</v>
      </c>
      <c r="AA62" s="18" t="b">
        <f>FALSE()</f>
        <v>0</v>
      </c>
      <c r="AB62" s="18" t="s">
        <v>98</v>
      </c>
      <c r="AC62" s="19">
        <v>0</v>
      </c>
      <c r="AD62" s="19">
        <v>0</v>
      </c>
      <c r="AE62" s="19">
        <v>0.125</v>
      </c>
      <c r="AF62" s="19">
        <v>0</v>
      </c>
      <c r="AG62" s="19">
        <v>0.125</v>
      </c>
      <c r="AH62" s="19">
        <v>0.75</v>
      </c>
      <c r="AI62" s="19">
        <v>0</v>
      </c>
      <c r="AJ62" s="19">
        <v>0</v>
      </c>
      <c r="AK62" s="18" t="s">
        <v>193</v>
      </c>
      <c r="BF62" t="s">
        <v>99</v>
      </c>
      <c r="BH62" t="s">
        <v>100</v>
      </c>
      <c r="BI62" t="s">
        <v>101</v>
      </c>
    </row>
    <row r="63" spans="1:62" ht="30" customHeight="1" x14ac:dyDescent="0.2">
      <c r="A63" s="25" t="s">
        <v>1285</v>
      </c>
      <c r="B63" s="25" t="s">
        <v>1286</v>
      </c>
      <c r="C63" s="25">
        <v>1998</v>
      </c>
      <c r="D63" s="25" t="s">
        <v>1287</v>
      </c>
      <c r="E63" s="14" t="s">
        <v>231</v>
      </c>
      <c r="F63" s="25" t="s">
        <v>1278</v>
      </c>
      <c r="G63" s="25" t="s">
        <v>131</v>
      </c>
      <c r="H63" s="25" t="s">
        <v>108</v>
      </c>
      <c r="I63" s="25"/>
      <c r="J63" s="25"/>
      <c r="K63" s="25"/>
      <c r="L63" s="25"/>
      <c r="M63" s="25" t="s">
        <v>2046</v>
      </c>
      <c r="N63" s="14" t="s">
        <v>199</v>
      </c>
      <c r="O63" s="25" t="s">
        <v>2047</v>
      </c>
      <c r="P63" s="25"/>
      <c r="Q63" s="25" t="s">
        <v>2045</v>
      </c>
      <c r="R63" s="25"/>
      <c r="S63" s="14">
        <v>2</v>
      </c>
      <c r="T63" s="25" t="s">
        <v>2048</v>
      </c>
      <c r="U63" s="26" t="s">
        <v>2044</v>
      </c>
      <c r="V63" s="25" t="s">
        <v>1025</v>
      </c>
      <c r="W63" s="17">
        <v>0.72</v>
      </c>
      <c r="X63" s="17">
        <v>0.66</v>
      </c>
      <c r="Y63" s="17">
        <v>0.2</v>
      </c>
      <c r="Z63" s="17">
        <v>0.82</v>
      </c>
      <c r="AA63" s="18" t="b">
        <f>TRUE()</f>
        <v>1</v>
      </c>
      <c r="AB63" s="18" t="s">
        <v>246</v>
      </c>
      <c r="AC63" s="19">
        <v>7.9000000000000001E-2</v>
      </c>
      <c r="AD63" s="19">
        <v>7.9000000000000001E-2</v>
      </c>
      <c r="AE63" s="19">
        <v>0.39500000000000002</v>
      </c>
      <c r="AF63" s="19">
        <v>7.9000000000000001E-2</v>
      </c>
      <c r="AG63" s="19">
        <v>7.9000000000000001E-2</v>
      </c>
      <c r="AH63" s="19">
        <v>0.13200000000000001</v>
      </c>
      <c r="AI63" s="19">
        <v>7.9000000000000001E-2</v>
      </c>
      <c r="AJ63" s="19">
        <v>7.9000000000000001E-2</v>
      </c>
      <c r="AK63" s="18" t="s">
        <v>342</v>
      </c>
      <c r="BF63" t="s">
        <v>99</v>
      </c>
      <c r="BH63" t="s">
        <v>334</v>
      </c>
      <c r="BI63" t="s">
        <v>1281</v>
      </c>
    </row>
    <row r="64" spans="1:62" ht="30" customHeight="1" x14ac:dyDescent="0.2">
      <c r="A64" s="13" t="s">
        <v>541</v>
      </c>
      <c r="B64" s="14" t="s">
        <v>522</v>
      </c>
      <c r="C64" s="15" t="s">
        <v>439</v>
      </c>
      <c r="D64" s="14" t="s">
        <v>542</v>
      </c>
      <c r="E64" s="14" t="s">
        <v>524</v>
      </c>
      <c r="F64" s="14" t="s">
        <v>197</v>
      </c>
      <c r="G64" s="14" t="s">
        <v>107</v>
      </c>
      <c r="H64" s="14" t="s">
        <v>108</v>
      </c>
      <c r="I64" s="14"/>
      <c r="J64" s="14" t="s">
        <v>132</v>
      </c>
      <c r="K64" s="14" t="s">
        <v>204</v>
      </c>
      <c r="L64" s="14"/>
      <c r="M64" s="16" t="s">
        <v>543</v>
      </c>
      <c r="N64" s="14" t="s">
        <v>199</v>
      </c>
      <c r="O64" s="14" t="s">
        <v>544</v>
      </c>
      <c r="P64" s="14"/>
      <c r="Q64" s="14" t="s">
        <v>113</v>
      </c>
      <c r="R64" s="14"/>
      <c r="S64" s="14">
        <v>5</v>
      </c>
      <c r="T64" s="14" t="s">
        <v>545</v>
      </c>
      <c r="U64" s="14"/>
      <c r="V64" s="14" t="s">
        <v>97</v>
      </c>
      <c r="W64" s="17">
        <v>0.67</v>
      </c>
      <c r="X64" s="17">
        <v>0.55000000000000004</v>
      </c>
      <c r="Y64" s="17">
        <v>0.32</v>
      </c>
      <c r="Z64" s="17">
        <v>0.73</v>
      </c>
      <c r="AA64" s="18" t="b">
        <f>FALSE()</f>
        <v>0</v>
      </c>
      <c r="AB64" s="18" t="s">
        <v>98</v>
      </c>
      <c r="AC64" s="19">
        <v>0</v>
      </c>
      <c r="AD64" s="19">
        <v>0</v>
      </c>
      <c r="AE64" s="19">
        <v>0.125</v>
      </c>
      <c r="AF64" s="19">
        <v>0</v>
      </c>
      <c r="AG64" s="19">
        <v>0.125</v>
      </c>
      <c r="AH64" s="19">
        <v>0.75</v>
      </c>
      <c r="AI64" s="19">
        <v>0</v>
      </c>
      <c r="AJ64" s="19">
        <v>0</v>
      </c>
      <c r="AK64" s="18" t="s">
        <v>193</v>
      </c>
      <c r="BF64" t="s">
        <v>99</v>
      </c>
      <c r="BH64" t="s">
        <v>100</v>
      </c>
      <c r="BI64" t="s">
        <v>101</v>
      </c>
    </row>
    <row r="65" spans="1:62" ht="30" customHeight="1" x14ac:dyDescent="0.2">
      <c r="A65" s="25" t="s">
        <v>1288</v>
      </c>
      <c r="B65" s="25" t="s">
        <v>1289</v>
      </c>
      <c r="C65" s="25">
        <v>1999</v>
      </c>
      <c r="D65" s="25" t="s">
        <v>1290</v>
      </c>
      <c r="E65" s="14" t="s">
        <v>231</v>
      </c>
      <c r="F65" s="25" t="s">
        <v>1278</v>
      </c>
      <c r="G65" s="25"/>
      <c r="H65" s="25"/>
      <c r="I65" s="25"/>
      <c r="J65" s="25"/>
      <c r="K65" s="25"/>
      <c r="L65" s="25"/>
      <c r="M65" s="25" t="s">
        <v>1291</v>
      </c>
      <c r="N65" s="14" t="s">
        <v>1280</v>
      </c>
      <c r="O65" s="25"/>
      <c r="P65" s="25"/>
      <c r="Q65" s="25" t="s">
        <v>901</v>
      </c>
      <c r="R65" s="25"/>
      <c r="S65" s="14">
        <v>2</v>
      </c>
      <c r="T65" s="25"/>
      <c r="U65" s="25"/>
      <c r="V65" s="25" t="s">
        <v>1025</v>
      </c>
      <c r="W65" s="17">
        <v>0.72</v>
      </c>
      <c r="X65" s="17">
        <v>0.66</v>
      </c>
      <c r="Y65" s="17">
        <v>0.2</v>
      </c>
      <c r="Z65" s="17">
        <v>0.82</v>
      </c>
      <c r="AA65" s="18" t="b">
        <f>TRUE()</f>
        <v>1</v>
      </c>
      <c r="AB65" s="18" t="s">
        <v>246</v>
      </c>
      <c r="AC65" s="19">
        <v>7.9000000000000001E-2</v>
      </c>
      <c r="AD65" s="19">
        <v>7.9000000000000001E-2</v>
      </c>
      <c r="AE65" s="19">
        <v>0.39500000000000002</v>
      </c>
      <c r="AF65" s="19">
        <v>7.9000000000000001E-2</v>
      </c>
      <c r="AG65" s="19">
        <v>7.9000000000000001E-2</v>
      </c>
      <c r="AH65" s="19">
        <v>0.13200000000000001</v>
      </c>
      <c r="AI65" s="19">
        <v>7.9000000000000001E-2</v>
      </c>
      <c r="AJ65" s="19">
        <v>7.9000000000000001E-2</v>
      </c>
      <c r="AK65" s="18" t="s">
        <v>342</v>
      </c>
      <c r="BF65" t="s">
        <v>99</v>
      </c>
      <c r="BH65" t="s">
        <v>334</v>
      </c>
      <c r="BI65" t="s">
        <v>1026</v>
      </c>
    </row>
    <row r="66" spans="1:62" ht="30" customHeight="1" x14ac:dyDescent="0.2">
      <c r="A66" s="13" t="s">
        <v>553</v>
      </c>
      <c r="B66" s="14" t="s">
        <v>522</v>
      </c>
      <c r="C66" s="15" t="s">
        <v>431</v>
      </c>
      <c r="D66" s="14" t="s">
        <v>554</v>
      </c>
      <c r="E66" s="14" t="s">
        <v>524</v>
      </c>
      <c r="F66" s="14" t="s">
        <v>197</v>
      </c>
      <c r="G66" s="14" t="s">
        <v>131</v>
      </c>
      <c r="H66" s="14" t="s">
        <v>108</v>
      </c>
      <c r="I66" s="14"/>
      <c r="J66" s="14" t="s">
        <v>132</v>
      </c>
      <c r="K66" s="14" t="s">
        <v>204</v>
      </c>
      <c r="L66" s="14"/>
      <c r="M66" s="16" t="s">
        <v>555</v>
      </c>
      <c r="N66" s="14" t="s">
        <v>199</v>
      </c>
      <c r="O66" s="14" t="s">
        <v>556</v>
      </c>
      <c r="P66" s="14"/>
      <c r="Q66" s="14"/>
      <c r="R66" s="14"/>
      <c r="S66" s="14">
        <v>4</v>
      </c>
      <c r="T66" s="14" t="s">
        <v>557</v>
      </c>
      <c r="U66" s="14"/>
      <c r="V66" s="14" t="s">
        <v>97</v>
      </c>
      <c r="W66" s="17">
        <v>0.67</v>
      </c>
      <c r="X66" s="17">
        <v>0.55000000000000004</v>
      </c>
      <c r="Y66" s="17">
        <v>0.32</v>
      </c>
      <c r="Z66" s="17">
        <v>0.73</v>
      </c>
      <c r="AA66" s="18" t="b">
        <f>FALSE()</f>
        <v>0</v>
      </c>
      <c r="AB66" s="18" t="s">
        <v>98</v>
      </c>
      <c r="AC66" s="19">
        <v>0</v>
      </c>
      <c r="AD66" s="19">
        <v>0</v>
      </c>
      <c r="AE66" s="19">
        <v>0.125</v>
      </c>
      <c r="AF66" s="19">
        <v>0</v>
      </c>
      <c r="AG66" s="19">
        <v>0.125</v>
      </c>
      <c r="AH66" s="19">
        <v>0.75</v>
      </c>
      <c r="AI66" s="19">
        <v>0</v>
      </c>
      <c r="AJ66" s="19">
        <v>0</v>
      </c>
      <c r="AK66" s="18" t="s">
        <v>193</v>
      </c>
      <c r="BF66" t="s">
        <v>99</v>
      </c>
      <c r="BH66" t="s">
        <v>100</v>
      </c>
      <c r="BI66" t="s">
        <v>101</v>
      </c>
    </row>
    <row r="67" spans="1:62" ht="30" customHeight="1" x14ac:dyDescent="0.2">
      <c r="A67" s="20" t="s">
        <v>558</v>
      </c>
      <c r="B67" s="21" t="s">
        <v>559</v>
      </c>
      <c r="C67" s="22" t="s">
        <v>560</v>
      </c>
      <c r="D67" s="21" t="s">
        <v>561</v>
      </c>
      <c r="E67" s="21" t="s">
        <v>231</v>
      </c>
      <c r="F67" s="21" t="s">
        <v>525</v>
      </c>
      <c r="G67" s="21" t="s">
        <v>150</v>
      </c>
      <c r="H67" s="21" t="s">
        <v>108</v>
      </c>
      <c r="I67" s="21"/>
      <c r="J67" s="21" t="s">
        <v>132</v>
      </c>
      <c r="K67" s="21" t="s">
        <v>330</v>
      </c>
      <c r="L67" s="21"/>
      <c r="M67" s="23" t="s">
        <v>562</v>
      </c>
      <c r="N67" s="21" t="s">
        <v>323</v>
      </c>
      <c r="O67" s="21" t="s">
        <v>340</v>
      </c>
      <c r="P67" s="21"/>
      <c r="Q67" s="21"/>
      <c r="R67" s="21"/>
      <c r="S67" s="21">
        <v>5</v>
      </c>
      <c r="T67" s="21"/>
      <c r="U67" s="21"/>
      <c r="V67" s="14" t="s">
        <v>97</v>
      </c>
      <c r="W67" s="17">
        <v>0.3</v>
      </c>
      <c r="X67" s="17">
        <v>0.42</v>
      </c>
      <c r="Y67" s="17">
        <v>0.42</v>
      </c>
      <c r="Z67" s="17">
        <v>0.5</v>
      </c>
      <c r="AA67" s="18" t="b">
        <f>FALSE()</f>
        <v>0</v>
      </c>
      <c r="AB67" s="18" t="s">
        <v>98</v>
      </c>
      <c r="AC67" s="19">
        <v>0.25</v>
      </c>
      <c r="AD67" s="19">
        <v>0.25</v>
      </c>
      <c r="AE67" s="19">
        <v>8.3000000000000004E-2</v>
      </c>
      <c r="AF67" s="19">
        <v>8.3000000000000004E-2</v>
      </c>
      <c r="AG67" s="19">
        <v>8.3000000000000004E-2</v>
      </c>
      <c r="AH67" s="19">
        <v>8.3000000000000004E-2</v>
      </c>
      <c r="AI67" s="19">
        <v>8.3000000000000004E-2</v>
      </c>
      <c r="AJ67" s="19">
        <v>8.3000000000000004E-2</v>
      </c>
      <c r="AK67" s="18" t="s">
        <v>333</v>
      </c>
      <c r="BF67" t="s">
        <v>99</v>
      </c>
      <c r="BH67" t="s">
        <v>100</v>
      </c>
      <c r="BI67" t="s">
        <v>101</v>
      </c>
    </row>
    <row r="68" spans="1:62" ht="30" customHeight="1" x14ac:dyDescent="0.2">
      <c r="A68" s="13" t="s">
        <v>563</v>
      </c>
      <c r="B68" s="14" t="s">
        <v>564</v>
      </c>
      <c r="C68" s="15" t="s">
        <v>238</v>
      </c>
      <c r="D68" s="14" t="s">
        <v>565</v>
      </c>
      <c r="E68" s="14" t="s">
        <v>524</v>
      </c>
      <c r="F68" s="14" t="s">
        <v>566</v>
      </c>
      <c r="G68" s="14" t="s">
        <v>131</v>
      </c>
      <c r="H68" s="14" t="s">
        <v>254</v>
      </c>
      <c r="I68" s="14"/>
      <c r="J68" s="14" t="s">
        <v>132</v>
      </c>
      <c r="K68" s="14" t="s">
        <v>567</v>
      </c>
      <c r="L68" s="14"/>
      <c r="M68" s="16" t="s">
        <v>568</v>
      </c>
      <c r="N68" s="14" t="s">
        <v>199</v>
      </c>
      <c r="O68" s="14" t="s">
        <v>377</v>
      </c>
      <c r="P68" s="14"/>
      <c r="Q68" s="14"/>
      <c r="R68" s="14"/>
      <c r="S68" s="14">
        <v>3</v>
      </c>
      <c r="T68" s="14" t="s">
        <v>569</v>
      </c>
      <c r="U68" s="14"/>
      <c r="V68" s="14" t="s">
        <v>97</v>
      </c>
      <c r="W68" s="17">
        <v>0.55000000000000004</v>
      </c>
      <c r="X68" s="17">
        <v>0.45</v>
      </c>
      <c r="Y68" s="17">
        <v>0.22</v>
      </c>
      <c r="Z68" s="17">
        <v>0.6</v>
      </c>
      <c r="AA68" s="18" t="b">
        <f>FALSE()</f>
        <v>0</v>
      </c>
      <c r="AB68" s="18" t="s">
        <v>98</v>
      </c>
      <c r="AC68" s="19">
        <v>0</v>
      </c>
      <c r="AD68" s="19">
        <v>0</v>
      </c>
      <c r="AE68" s="19">
        <v>0.35699999999999998</v>
      </c>
      <c r="AF68" s="19">
        <v>0</v>
      </c>
      <c r="AG68" s="19">
        <v>0.17899999999999999</v>
      </c>
      <c r="AH68" s="19">
        <v>0.35699999999999998</v>
      </c>
      <c r="AI68" s="19">
        <v>0.107</v>
      </c>
      <c r="AJ68" s="19">
        <v>0</v>
      </c>
      <c r="AK68" s="18" t="s">
        <v>342</v>
      </c>
      <c r="BF68" t="s">
        <v>99</v>
      </c>
      <c r="BH68" t="s">
        <v>100</v>
      </c>
      <c r="BI68" t="s">
        <v>101</v>
      </c>
    </row>
    <row r="69" spans="1:62" ht="30" customHeight="1" x14ac:dyDescent="0.2">
      <c r="A69" s="20" t="s">
        <v>570</v>
      </c>
      <c r="B69" s="21" t="s">
        <v>571</v>
      </c>
      <c r="C69" s="22" t="s">
        <v>136</v>
      </c>
      <c r="D69" s="21" t="s">
        <v>572</v>
      </c>
      <c r="E69" s="21" t="s">
        <v>524</v>
      </c>
      <c r="F69" s="21" t="s">
        <v>573</v>
      </c>
      <c r="G69" s="21" t="s">
        <v>150</v>
      </c>
      <c r="H69" s="21" t="s">
        <v>91</v>
      </c>
      <c r="I69" s="21"/>
      <c r="J69" s="21" t="s">
        <v>132</v>
      </c>
      <c r="K69" s="21" t="s">
        <v>330</v>
      </c>
      <c r="L69" s="21"/>
      <c r="M69" s="23" t="s">
        <v>574</v>
      </c>
      <c r="N69" s="21" t="s">
        <v>199</v>
      </c>
      <c r="O69" s="21" t="s">
        <v>575</v>
      </c>
      <c r="P69" s="21"/>
      <c r="Q69" s="21"/>
      <c r="R69" s="21"/>
      <c r="S69" s="21">
        <v>1</v>
      </c>
      <c r="T69" s="21"/>
      <c r="U69" s="21"/>
      <c r="V69" s="14" t="s">
        <v>97</v>
      </c>
      <c r="W69" s="17">
        <v>0.45</v>
      </c>
      <c r="X69" s="17">
        <v>0.25</v>
      </c>
      <c r="Y69" s="17">
        <v>0.3</v>
      </c>
      <c r="Z69" s="17">
        <v>0.6</v>
      </c>
      <c r="AA69" s="18" t="b">
        <f>FALSE()</f>
        <v>0</v>
      </c>
      <c r="AB69" s="18" t="s">
        <v>98</v>
      </c>
      <c r="AC69" s="19">
        <v>8.7999999999999995E-2</v>
      </c>
      <c r="AD69" s="19">
        <v>8.7999999999999995E-2</v>
      </c>
      <c r="AE69" s="19">
        <v>8.7999999999999995E-2</v>
      </c>
      <c r="AF69" s="19">
        <v>0.20599999999999999</v>
      </c>
      <c r="AG69" s="19">
        <v>0.20599999999999999</v>
      </c>
      <c r="AH69" s="19">
        <v>8.7999999999999995E-2</v>
      </c>
      <c r="AI69" s="19">
        <v>8.7999999999999995E-2</v>
      </c>
      <c r="AJ69" s="19">
        <v>0.14699999999999999</v>
      </c>
      <c r="AK69" s="18" t="s">
        <v>442</v>
      </c>
      <c r="BF69" t="s">
        <v>99</v>
      </c>
      <c r="BH69" t="s">
        <v>100</v>
      </c>
      <c r="BI69" t="s">
        <v>101</v>
      </c>
    </row>
    <row r="70" spans="1:62" ht="30" customHeight="1" x14ac:dyDescent="0.2">
      <c r="A70" s="13" t="s">
        <v>576</v>
      </c>
      <c r="B70" s="14" t="s">
        <v>571</v>
      </c>
      <c r="C70" s="15" t="s">
        <v>87</v>
      </c>
      <c r="D70" s="14" t="s">
        <v>577</v>
      </c>
      <c r="E70" s="14" t="s">
        <v>524</v>
      </c>
      <c r="F70" s="14" t="s">
        <v>573</v>
      </c>
      <c r="G70" s="14" t="s">
        <v>131</v>
      </c>
      <c r="H70" s="14" t="s">
        <v>91</v>
      </c>
      <c r="I70" s="14"/>
      <c r="J70" s="14" t="s">
        <v>132</v>
      </c>
      <c r="K70" s="14" t="s">
        <v>330</v>
      </c>
      <c r="L70" s="14"/>
      <c r="M70" s="16" t="s">
        <v>578</v>
      </c>
      <c r="N70" s="14" t="s">
        <v>199</v>
      </c>
      <c r="O70" s="14" t="s">
        <v>579</v>
      </c>
      <c r="P70" s="14"/>
      <c r="Q70" s="14"/>
      <c r="R70" s="14"/>
      <c r="S70" s="14">
        <v>2</v>
      </c>
      <c r="T70" s="14"/>
      <c r="U70" s="14"/>
      <c r="V70" s="14" t="s">
        <v>97</v>
      </c>
      <c r="W70" s="17">
        <v>0.45</v>
      </c>
      <c r="X70" s="17">
        <v>0.25</v>
      </c>
      <c r="Y70" s="17">
        <v>0.3</v>
      </c>
      <c r="Z70" s="17">
        <v>0.6</v>
      </c>
      <c r="AA70" s="18" t="b">
        <f>FALSE()</f>
        <v>0</v>
      </c>
      <c r="AB70" s="18" t="s">
        <v>98</v>
      </c>
      <c r="AC70" s="19">
        <v>8.7999999999999995E-2</v>
      </c>
      <c r="AD70" s="19">
        <v>8.7999999999999995E-2</v>
      </c>
      <c r="AE70" s="19">
        <v>8.7999999999999995E-2</v>
      </c>
      <c r="AF70" s="19">
        <v>0.20599999999999999</v>
      </c>
      <c r="AG70" s="19">
        <v>0.20599999999999999</v>
      </c>
      <c r="AH70" s="19">
        <v>8.7999999999999995E-2</v>
      </c>
      <c r="AI70" s="19">
        <v>8.7999999999999995E-2</v>
      </c>
      <c r="AJ70" s="19">
        <v>0.14699999999999999</v>
      </c>
      <c r="AK70" s="18" t="s">
        <v>442</v>
      </c>
      <c r="BF70" t="s">
        <v>99</v>
      </c>
      <c r="BH70" t="s">
        <v>100</v>
      </c>
      <c r="BI70" t="s">
        <v>101</v>
      </c>
    </row>
    <row r="71" spans="1:62" ht="30" customHeight="1" x14ac:dyDescent="0.2">
      <c r="A71" s="20" t="s">
        <v>580</v>
      </c>
      <c r="B71" s="21" t="s">
        <v>571</v>
      </c>
      <c r="C71" s="22" t="s">
        <v>117</v>
      </c>
      <c r="D71" s="21" t="s">
        <v>581</v>
      </c>
      <c r="E71" s="21" t="s">
        <v>524</v>
      </c>
      <c r="F71" s="21" t="s">
        <v>573</v>
      </c>
      <c r="G71" s="21" t="s">
        <v>131</v>
      </c>
      <c r="H71" s="21" t="s">
        <v>91</v>
      </c>
      <c r="I71" s="21"/>
      <c r="J71" s="21" t="s">
        <v>132</v>
      </c>
      <c r="K71" s="21" t="s">
        <v>330</v>
      </c>
      <c r="L71" s="21"/>
      <c r="M71" s="23" t="s">
        <v>582</v>
      </c>
      <c r="N71" s="21" t="s">
        <v>199</v>
      </c>
      <c r="O71" s="21" t="s">
        <v>583</v>
      </c>
      <c r="P71" s="21"/>
      <c r="Q71" s="21"/>
      <c r="R71" s="21"/>
      <c r="S71" s="21">
        <v>2</v>
      </c>
      <c r="T71" s="21" t="s">
        <v>584</v>
      </c>
      <c r="U71" s="21"/>
      <c r="V71" s="14" t="s">
        <v>97</v>
      </c>
      <c r="W71" s="17">
        <v>0.45</v>
      </c>
      <c r="X71" s="17">
        <v>0.25</v>
      </c>
      <c r="Y71" s="17">
        <v>0.3</v>
      </c>
      <c r="Z71" s="17">
        <v>0.6</v>
      </c>
      <c r="AA71" s="18" t="b">
        <f>FALSE()</f>
        <v>0</v>
      </c>
      <c r="AB71" s="18" t="s">
        <v>98</v>
      </c>
      <c r="AC71" s="19">
        <v>8.7999999999999995E-2</v>
      </c>
      <c r="AD71" s="19">
        <v>8.7999999999999995E-2</v>
      </c>
      <c r="AE71" s="19">
        <v>8.7999999999999995E-2</v>
      </c>
      <c r="AF71" s="19">
        <v>0.20599999999999999</v>
      </c>
      <c r="AG71" s="19">
        <v>0.20599999999999999</v>
      </c>
      <c r="AH71" s="19">
        <v>8.7999999999999995E-2</v>
      </c>
      <c r="AI71" s="19">
        <v>8.7999999999999995E-2</v>
      </c>
      <c r="AJ71" s="19">
        <v>0.14699999999999999</v>
      </c>
      <c r="AK71" s="18" t="s">
        <v>442</v>
      </c>
      <c r="BF71" t="s">
        <v>99</v>
      </c>
      <c r="BH71" t="s">
        <v>100</v>
      </c>
      <c r="BI71" t="s">
        <v>101</v>
      </c>
    </row>
    <row r="72" spans="1:62" ht="30" customHeight="1" x14ac:dyDescent="0.2">
      <c r="A72" s="25" t="s">
        <v>919</v>
      </c>
      <c r="B72" s="21" t="s">
        <v>920</v>
      </c>
      <c r="C72" s="22">
        <v>2003</v>
      </c>
      <c r="D72" s="21" t="s">
        <v>921</v>
      </c>
      <c r="E72" s="21" t="s">
        <v>788</v>
      </c>
      <c r="F72" s="21" t="s">
        <v>828</v>
      </c>
      <c r="G72" s="21" t="s">
        <v>844</v>
      </c>
      <c r="H72" s="21" t="s">
        <v>91</v>
      </c>
      <c r="I72" s="21"/>
      <c r="J72" s="21" t="s">
        <v>359</v>
      </c>
      <c r="K72" s="21" t="s">
        <v>295</v>
      </c>
      <c r="L72" s="21"/>
      <c r="M72" s="23" t="s">
        <v>922</v>
      </c>
      <c r="N72" s="21" t="s">
        <v>297</v>
      </c>
      <c r="O72" s="21" t="s">
        <v>923</v>
      </c>
      <c r="P72" s="21"/>
      <c r="Q72" s="21" t="s">
        <v>2116</v>
      </c>
      <c r="R72" s="21"/>
      <c r="S72" s="21">
        <v>2</v>
      </c>
      <c r="T72" s="21" t="s">
        <v>924</v>
      </c>
      <c r="U72" s="21"/>
      <c r="V72" s="21" t="s">
        <v>925</v>
      </c>
      <c r="W72" s="17">
        <v>0.4</v>
      </c>
      <c r="X72" s="17">
        <v>0.25</v>
      </c>
      <c r="Y72" s="17">
        <v>0.42</v>
      </c>
      <c r="Z72" s="17">
        <v>0.1</v>
      </c>
      <c r="AA72" s="18" t="b">
        <f>TRUE()</f>
        <v>1</v>
      </c>
      <c r="AB72" s="18" t="s">
        <v>246</v>
      </c>
      <c r="AC72" s="19">
        <v>7.9000000000000001E-2</v>
      </c>
      <c r="AD72" s="19">
        <v>0</v>
      </c>
      <c r="AE72" s="19">
        <v>0</v>
      </c>
      <c r="AF72" s="19">
        <v>0</v>
      </c>
      <c r="AG72" s="19">
        <v>0</v>
      </c>
      <c r="AH72" s="19">
        <v>0</v>
      </c>
      <c r="AI72" s="19">
        <v>0.92100000000000004</v>
      </c>
      <c r="AJ72" s="19">
        <v>0</v>
      </c>
      <c r="AK72" s="18" t="s">
        <v>299</v>
      </c>
      <c r="AL72">
        <v>0.17</v>
      </c>
      <c r="AM72">
        <v>0.43</v>
      </c>
      <c r="AN72">
        <v>0.33</v>
      </c>
      <c r="AO72">
        <v>0.5</v>
      </c>
      <c r="AP72">
        <v>0.33</v>
      </c>
      <c r="AQ72">
        <v>0.33</v>
      </c>
      <c r="AR72">
        <v>0.14000000000000001</v>
      </c>
      <c r="BF72" t="s">
        <v>247</v>
      </c>
      <c r="BG72" t="s">
        <v>248</v>
      </c>
      <c r="BH72" t="s">
        <v>249</v>
      </c>
      <c r="BI72" t="s">
        <v>926</v>
      </c>
      <c r="BJ72">
        <v>0</v>
      </c>
    </row>
    <row r="73" spans="1:62" ht="30" customHeight="1" x14ac:dyDescent="0.2">
      <c r="A73" s="25" t="s">
        <v>1296</v>
      </c>
      <c r="B73" s="25" t="s">
        <v>1297</v>
      </c>
      <c r="C73" s="25">
        <v>2003</v>
      </c>
      <c r="D73" s="25" t="s">
        <v>1298</v>
      </c>
      <c r="E73" s="14" t="s">
        <v>231</v>
      </c>
      <c r="F73" s="25" t="s">
        <v>1278</v>
      </c>
      <c r="G73" s="25" t="s">
        <v>131</v>
      </c>
      <c r="H73" s="25" t="s">
        <v>108</v>
      </c>
      <c r="I73" s="25"/>
      <c r="J73" s="25"/>
      <c r="K73" s="25" t="s">
        <v>2052</v>
      </c>
      <c r="L73" s="25"/>
      <c r="M73" s="25" t="s">
        <v>2051</v>
      </c>
      <c r="N73" s="14" t="s">
        <v>1280</v>
      </c>
      <c r="O73" s="25" t="s">
        <v>2050</v>
      </c>
      <c r="P73" s="25"/>
      <c r="Q73" s="25" t="s">
        <v>113</v>
      </c>
      <c r="R73" s="25"/>
      <c r="S73" s="14">
        <v>3</v>
      </c>
      <c r="T73" s="26" t="s">
        <v>2053</v>
      </c>
      <c r="U73" s="26" t="s">
        <v>2049</v>
      </c>
      <c r="V73" s="25" t="s">
        <v>1025</v>
      </c>
      <c r="W73" s="17">
        <v>0.72</v>
      </c>
      <c r="X73" s="17">
        <v>0.66</v>
      </c>
      <c r="Y73" s="17">
        <v>0.2</v>
      </c>
      <c r="Z73" s="17">
        <v>0.82</v>
      </c>
      <c r="AA73" s="18" t="b">
        <f>TRUE()</f>
        <v>1</v>
      </c>
      <c r="AB73" s="18" t="s">
        <v>246</v>
      </c>
      <c r="AC73" s="19">
        <v>7.9000000000000001E-2</v>
      </c>
      <c r="AD73" s="19">
        <v>7.9000000000000001E-2</v>
      </c>
      <c r="AE73" s="19">
        <v>0.39500000000000002</v>
      </c>
      <c r="AF73" s="19">
        <v>7.9000000000000001E-2</v>
      </c>
      <c r="AG73" s="19">
        <v>7.9000000000000001E-2</v>
      </c>
      <c r="AH73" s="19">
        <v>0.13200000000000001</v>
      </c>
      <c r="AI73" s="19">
        <v>7.9000000000000001E-2</v>
      </c>
      <c r="AJ73" s="19">
        <v>7.9000000000000001E-2</v>
      </c>
      <c r="AK73" s="18" t="s">
        <v>342</v>
      </c>
      <c r="BF73" t="s">
        <v>99</v>
      </c>
      <c r="BH73" t="s">
        <v>334</v>
      </c>
      <c r="BI73" t="s">
        <v>1026</v>
      </c>
    </row>
    <row r="74" spans="1:62" ht="30" customHeight="1" x14ac:dyDescent="0.2">
      <c r="A74" s="25" t="s">
        <v>1382</v>
      </c>
      <c r="B74" s="25" t="s">
        <v>1383</v>
      </c>
      <c r="C74" s="25">
        <v>2004</v>
      </c>
      <c r="D74" s="25" t="s">
        <v>1384</v>
      </c>
      <c r="E74" s="14" t="s">
        <v>737</v>
      </c>
      <c r="F74" s="25" t="s">
        <v>1278</v>
      </c>
      <c r="G74" s="25"/>
      <c r="H74" s="25" t="s">
        <v>241</v>
      </c>
      <c r="I74" s="25"/>
      <c r="J74" s="25" t="s">
        <v>1253</v>
      </c>
      <c r="K74" s="25" t="s">
        <v>590</v>
      </c>
      <c r="L74" s="25"/>
      <c r="M74" s="25" t="s">
        <v>1385</v>
      </c>
      <c r="N74" s="14" t="s">
        <v>1280</v>
      </c>
      <c r="O74" s="25" t="s">
        <v>370</v>
      </c>
      <c r="P74" s="25"/>
      <c r="Q74" s="25" t="s">
        <v>901</v>
      </c>
      <c r="R74" s="25"/>
      <c r="S74" s="14">
        <v>2</v>
      </c>
      <c r="T74" s="25" t="s">
        <v>1386</v>
      </c>
      <c r="U74" s="25"/>
      <c r="V74" s="25" t="s">
        <v>1025</v>
      </c>
      <c r="W74" s="17">
        <v>0.8</v>
      </c>
      <c r="X74" s="17">
        <v>0.71</v>
      </c>
      <c r="Y74" s="17">
        <v>0.2</v>
      </c>
      <c r="Z74" s="17">
        <v>0.92</v>
      </c>
      <c r="AA74" s="18" t="b">
        <f>TRUE()</f>
        <v>1</v>
      </c>
      <c r="AB74" s="18" t="s">
        <v>246</v>
      </c>
      <c r="AC74" s="19">
        <v>0</v>
      </c>
      <c r="AD74" s="19">
        <v>0</v>
      </c>
      <c r="AE74" s="19">
        <v>0.80500000000000005</v>
      </c>
      <c r="AF74" s="19">
        <v>0.14599999999999999</v>
      </c>
      <c r="AG74" s="19">
        <v>0</v>
      </c>
      <c r="AH74" s="19">
        <v>4.9000000000000002E-2</v>
      </c>
      <c r="AI74" s="19">
        <v>0</v>
      </c>
      <c r="AJ74" s="19">
        <v>0</v>
      </c>
      <c r="AK74" s="18" t="s">
        <v>342</v>
      </c>
      <c r="AL74">
        <v>0</v>
      </c>
      <c r="AM74">
        <v>0</v>
      </c>
      <c r="AN74">
        <v>0.5</v>
      </c>
      <c r="AO74">
        <v>0.17</v>
      </c>
      <c r="AP74">
        <v>0.33</v>
      </c>
      <c r="AQ74">
        <v>0</v>
      </c>
      <c r="AR74">
        <v>0</v>
      </c>
      <c r="BF74" t="s">
        <v>247</v>
      </c>
      <c r="BG74" t="s">
        <v>248</v>
      </c>
      <c r="BH74" t="s">
        <v>249</v>
      </c>
      <c r="BI74" t="s">
        <v>1387</v>
      </c>
      <c r="BJ74">
        <v>0</v>
      </c>
    </row>
    <row r="75" spans="1:62" ht="30" customHeight="1" x14ac:dyDescent="0.2">
      <c r="A75" s="20" t="s">
        <v>1069</v>
      </c>
      <c r="B75" s="21" t="s">
        <v>1070</v>
      </c>
      <c r="C75" s="27">
        <v>2004</v>
      </c>
      <c r="D75" s="21" t="s">
        <v>1071</v>
      </c>
      <c r="E75" s="21" t="s">
        <v>737</v>
      </c>
      <c r="F75" s="21" t="s">
        <v>590</v>
      </c>
      <c r="G75" s="21" t="s">
        <v>261</v>
      </c>
      <c r="H75" s="21" t="s">
        <v>91</v>
      </c>
      <c r="I75" s="21"/>
      <c r="J75" s="21" t="s">
        <v>1072</v>
      </c>
      <c r="K75" s="21" t="s">
        <v>693</v>
      </c>
      <c r="L75" s="21"/>
      <c r="M75" s="23" t="s">
        <v>1073</v>
      </c>
      <c r="N75" s="21" t="s">
        <v>111</v>
      </c>
      <c r="O75" s="21" t="s">
        <v>370</v>
      </c>
      <c r="P75" s="21" t="s">
        <v>1074</v>
      </c>
      <c r="Q75" s="21"/>
      <c r="R75" s="21"/>
      <c r="S75" s="21">
        <v>4</v>
      </c>
      <c r="T75" s="21"/>
      <c r="U75" s="21"/>
      <c r="V75" s="25" t="s">
        <v>1025</v>
      </c>
      <c r="W75" s="17">
        <v>0.82</v>
      </c>
      <c r="X75" s="17">
        <v>0.72</v>
      </c>
      <c r="Y75" s="17">
        <v>0.5</v>
      </c>
      <c r="Z75" s="17">
        <v>0.95</v>
      </c>
      <c r="AA75" s="18" t="b">
        <f>TRUE()</f>
        <v>1</v>
      </c>
      <c r="AB75" s="18" t="s">
        <v>246</v>
      </c>
      <c r="AC75" s="19">
        <v>0</v>
      </c>
      <c r="AD75" s="19">
        <v>0</v>
      </c>
      <c r="AE75" s="19">
        <v>0.32600000000000001</v>
      </c>
      <c r="AF75" s="19">
        <v>0.39500000000000002</v>
      </c>
      <c r="AG75" s="19">
        <v>0.20899999999999999</v>
      </c>
      <c r="AH75" s="19">
        <v>0</v>
      </c>
      <c r="AI75" s="19">
        <v>0</v>
      </c>
      <c r="AJ75" s="19">
        <v>7.0000000000000007E-2</v>
      </c>
      <c r="AK75" s="18" t="s">
        <v>442</v>
      </c>
      <c r="AL75">
        <v>0.67</v>
      </c>
      <c r="AM75">
        <v>0.28999999999999998</v>
      </c>
      <c r="AN75">
        <v>0.67</v>
      </c>
      <c r="AO75">
        <v>0.33</v>
      </c>
      <c r="AP75">
        <v>0.5</v>
      </c>
      <c r="AQ75">
        <v>0.5</v>
      </c>
      <c r="AR75">
        <v>0.56999999999999995</v>
      </c>
      <c r="BF75" t="s">
        <v>247</v>
      </c>
      <c r="BG75" t="s">
        <v>265</v>
      </c>
      <c r="BH75" t="s">
        <v>249</v>
      </c>
      <c r="BI75" t="s">
        <v>1075</v>
      </c>
      <c r="BJ75">
        <v>1</v>
      </c>
    </row>
    <row r="76" spans="1:62" ht="30" customHeight="1" x14ac:dyDescent="0.2">
      <c r="A76" s="13" t="s">
        <v>931</v>
      </c>
      <c r="B76" s="14" t="s">
        <v>932</v>
      </c>
      <c r="C76" s="24">
        <v>2004</v>
      </c>
      <c r="D76" s="14" t="s">
        <v>933</v>
      </c>
      <c r="E76" s="14" t="s">
        <v>788</v>
      </c>
      <c r="F76" s="14" t="s">
        <v>843</v>
      </c>
      <c r="G76" s="14" t="s">
        <v>403</v>
      </c>
      <c r="H76" s="14" t="s">
        <v>241</v>
      </c>
      <c r="I76" s="14"/>
      <c r="J76" s="14" t="s">
        <v>934</v>
      </c>
      <c r="K76" s="14" t="s">
        <v>295</v>
      </c>
      <c r="L76" s="14"/>
      <c r="M76" s="16" t="s">
        <v>935</v>
      </c>
      <c r="N76" s="14" t="s">
        <v>235</v>
      </c>
      <c r="O76" s="14" t="s">
        <v>112</v>
      </c>
      <c r="P76" s="14"/>
      <c r="Q76" s="14"/>
      <c r="R76" s="14"/>
      <c r="S76" s="14">
        <v>4</v>
      </c>
      <c r="T76" s="14"/>
      <c r="U76" s="14"/>
      <c r="V76" s="21" t="s">
        <v>97</v>
      </c>
      <c r="W76" s="17">
        <v>0.63</v>
      </c>
      <c r="X76" s="17">
        <v>0.48</v>
      </c>
      <c r="Y76" s="17">
        <v>0.42</v>
      </c>
      <c r="Z76" s="17">
        <v>0.2</v>
      </c>
      <c r="AA76" s="18" t="b">
        <f>TRUE()</f>
        <v>1</v>
      </c>
      <c r="AB76" s="18" t="s">
        <v>246</v>
      </c>
      <c r="AC76" s="19">
        <v>7.9000000000000001E-2</v>
      </c>
      <c r="AD76" s="19">
        <v>0</v>
      </c>
      <c r="AE76" s="19">
        <v>5.2999999999999999E-2</v>
      </c>
      <c r="AF76" s="19">
        <v>0</v>
      </c>
      <c r="AG76" s="19">
        <v>0</v>
      </c>
      <c r="AH76" s="19">
        <v>0.105</v>
      </c>
      <c r="AI76" s="19">
        <v>0.76300000000000001</v>
      </c>
      <c r="AJ76" s="19">
        <v>0</v>
      </c>
      <c r="AK76" s="18" t="s">
        <v>299</v>
      </c>
      <c r="AL76">
        <v>0.33</v>
      </c>
      <c r="AM76">
        <v>0.14000000000000001</v>
      </c>
      <c r="AN76">
        <v>0</v>
      </c>
      <c r="AO76">
        <v>0</v>
      </c>
      <c r="AP76">
        <v>0</v>
      </c>
      <c r="AQ76">
        <v>0.33</v>
      </c>
      <c r="AR76">
        <v>0</v>
      </c>
      <c r="BF76" t="s">
        <v>247</v>
      </c>
      <c r="BG76" t="s">
        <v>248</v>
      </c>
      <c r="BH76" t="s">
        <v>249</v>
      </c>
      <c r="BI76" t="s">
        <v>936</v>
      </c>
    </row>
    <row r="77" spans="1:62" ht="30" customHeight="1" x14ac:dyDescent="0.2">
      <c r="A77" s="20" t="s">
        <v>623</v>
      </c>
      <c r="B77" s="21" t="s">
        <v>624</v>
      </c>
      <c r="C77" s="22" t="s">
        <v>136</v>
      </c>
      <c r="D77" s="21" t="s">
        <v>625</v>
      </c>
      <c r="E77" s="21" t="s">
        <v>524</v>
      </c>
      <c r="F77" s="21" t="s">
        <v>566</v>
      </c>
      <c r="G77" s="21" t="s">
        <v>131</v>
      </c>
      <c r="H77" s="21" t="s">
        <v>254</v>
      </c>
      <c r="I77" s="21"/>
      <c r="J77" s="21" t="s">
        <v>132</v>
      </c>
      <c r="K77" s="21" t="s">
        <v>567</v>
      </c>
      <c r="L77" s="21"/>
      <c r="M77" s="23" t="s">
        <v>626</v>
      </c>
      <c r="N77" s="21" t="s">
        <v>199</v>
      </c>
      <c r="O77" s="21" t="s">
        <v>112</v>
      </c>
      <c r="P77" s="21" t="s">
        <v>627</v>
      </c>
      <c r="Q77" s="21"/>
      <c r="R77" s="21"/>
      <c r="S77" s="21">
        <v>3</v>
      </c>
      <c r="T77" s="21"/>
      <c r="U77" s="21"/>
      <c r="V77" s="14" t="s">
        <v>97</v>
      </c>
      <c r="W77" s="17">
        <v>0.55000000000000004</v>
      </c>
      <c r="X77" s="17">
        <v>0.45</v>
      </c>
      <c r="Y77" s="17">
        <v>0.22</v>
      </c>
      <c r="Z77" s="17">
        <v>0.6</v>
      </c>
      <c r="AA77" s="18" t="b">
        <f>FALSE()</f>
        <v>0</v>
      </c>
      <c r="AB77" s="18" t="s">
        <v>98</v>
      </c>
      <c r="AC77" s="19">
        <v>0</v>
      </c>
      <c r="AD77" s="19">
        <v>0</v>
      </c>
      <c r="AE77" s="19">
        <v>0.35699999999999998</v>
      </c>
      <c r="AF77" s="19">
        <v>0</v>
      </c>
      <c r="AG77" s="19">
        <v>0.17899999999999999</v>
      </c>
      <c r="AH77" s="19">
        <v>0.35699999999999998</v>
      </c>
      <c r="AI77" s="19">
        <v>0.107</v>
      </c>
      <c r="AJ77" s="19">
        <v>0</v>
      </c>
      <c r="AK77" s="18" t="s">
        <v>342</v>
      </c>
      <c r="BF77" t="s">
        <v>99</v>
      </c>
      <c r="BH77" t="s">
        <v>100</v>
      </c>
      <c r="BI77" t="s">
        <v>101</v>
      </c>
    </row>
    <row r="78" spans="1:62" ht="30" customHeight="1" x14ac:dyDescent="0.2">
      <c r="A78" s="25" t="s">
        <v>1361</v>
      </c>
      <c r="B78" s="21" t="s">
        <v>1362</v>
      </c>
      <c r="C78" s="22">
        <v>2006</v>
      </c>
      <c r="D78" s="21" t="s">
        <v>1363</v>
      </c>
      <c r="E78" s="21" t="s">
        <v>231</v>
      </c>
      <c r="F78" s="21" t="s">
        <v>1023</v>
      </c>
      <c r="G78" s="25"/>
      <c r="H78" s="21" t="s">
        <v>108</v>
      </c>
      <c r="I78" s="21"/>
      <c r="J78" s="21" t="s">
        <v>132</v>
      </c>
      <c r="K78" s="21" t="s">
        <v>567</v>
      </c>
      <c r="L78" s="21"/>
      <c r="M78" s="23" t="s">
        <v>1364</v>
      </c>
      <c r="N78" s="21" t="s">
        <v>199</v>
      </c>
      <c r="O78" s="25"/>
      <c r="P78" s="25"/>
      <c r="Q78" s="25"/>
      <c r="R78" s="25"/>
      <c r="S78" s="25"/>
      <c r="T78" s="26" t="s">
        <v>1365</v>
      </c>
      <c r="U78" s="26"/>
      <c r="V78" s="25"/>
      <c r="W78" s="17">
        <v>0.5</v>
      </c>
      <c r="X78" s="17">
        <v>0.3</v>
      </c>
      <c r="Y78" s="17">
        <v>0.1</v>
      </c>
      <c r="Z78" s="17">
        <v>0.6</v>
      </c>
      <c r="AA78" s="18" t="b">
        <f>TRUE()</f>
        <v>1</v>
      </c>
      <c r="AB78" s="18" t="s">
        <v>246</v>
      </c>
      <c r="AC78" s="19">
        <v>0</v>
      </c>
      <c r="AD78" s="19">
        <v>0</v>
      </c>
      <c r="AE78" s="19">
        <v>0.36399999999999999</v>
      </c>
      <c r="AF78" s="19">
        <v>0</v>
      </c>
      <c r="AG78" s="19">
        <v>0.13600000000000001</v>
      </c>
      <c r="AH78" s="19">
        <v>0.36399999999999999</v>
      </c>
      <c r="AI78" s="19">
        <v>0.13600000000000001</v>
      </c>
      <c r="AJ78" s="19">
        <v>0</v>
      </c>
      <c r="AK78" s="18" t="s">
        <v>342</v>
      </c>
      <c r="BF78" t="s">
        <v>99</v>
      </c>
      <c r="BH78" t="s">
        <v>334</v>
      </c>
      <c r="BI78" t="s">
        <v>1026</v>
      </c>
    </row>
    <row r="79" spans="1:62" ht="30" customHeight="1" x14ac:dyDescent="0.2">
      <c r="A79" s="20" t="s">
        <v>634</v>
      </c>
      <c r="B79" s="21" t="s">
        <v>635</v>
      </c>
      <c r="C79" s="22" t="s">
        <v>180</v>
      </c>
      <c r="D79" s="21" t="s">
        <v>636</v>
      </c>
      <c r="E79" s="21" t="s">
        <v>524</v>
      </c>
      <c r="F79" s="21" t="s">
        <v>90</v>
      </c>
      <c r="G79" s="21" t="s">
        <v>90</v>
      </c>
      <c r="H79" s="21" t="s">
        <v>516</v>
      </c>
      <c r="I79" s="21"/>
      <c r="J79" s="21" t="s">
        <v>637</v>
      </c>
      <c r="K79" s="21" t="s">
        <v>567</v>
      </c>
      <c r="L79" s="21"/>
      <c r="M79" s="23" t="s">
        <v>638</v>
      </c>
      <c r="N79" s="21" t="s">
        <v>95</v>
      </c>
      <c r="O79" s="21" t="s">
        <v>639</v>
      </c>
      <c r="P79" s="21"/>
      <c r="Q79" s="21"/>
      <c r="R79" s="21"/>
      <c r="S79" s="21">
        <v>4</v>
      </c>
      <c r="T79" s="21" t="s">
        <v>640</v>
      </c>
      <c r="U79" s="21"/>
      <c r="V79" s="14" t="s">
        <v>97</v>
      </c>
      <c r="W79" s="17">
        <v>0.1</v>
      </c>
      <c r="X79" s="17">
        <v>0.1</v>
      </c>
      <c r="Y79" s="17">
        <v>0.1</v>
      </c>
      <c r="Z79" s="17">
        <v>0.5</v>
      </c>
      <c r="AA79" s="18" t="b">
        <f>FALSE()</f>
        <v>0</v>
      </c>
      <c r="AB79" s="18" t="s">
        <v>98</v>
      </c>
      <c r="AC79" s="19">
        <v>5.8999999999999997E-2</v>
      </c>
      <c r="AD79" s="19">
        <v>5.8999999999999997E-2</v>
      </c>
      <c r="AE79" s="19">
        <v>0.23499999999999999</v>
      </c>
      <c r="AF79" s="19">
        <v>5.8999999999999997E-2</v>
      </c>
      <c r="AG79" s="19">
        <v>0.14699999999999999</v>
      </c>
      <c r="AH79" s="19">
        <v>0.23499999999999999</v>
      </c>
      <c r="AI79" s="19">
        <v>0.14699999999999999</v>
      </c>
      <c r="AJ79" s="19">
        <v>5.8999999999999997E-2</v>
      </c>
      <c r="AK79" s="18" t="s">
        <v>342</v>
      </c>
      <c r="BF79" t="s">
        <v>99</v>
      </c>
      <c r="BH79" t="s">
        <v>100</v>
      </c>
      <c r="BI79" t="s">
        <v>101</v>
      </c>
    </row>
    <row r="80" spans="1:62" ht="30" customHeight="1" x14ac:dyDescent="0.2">
      <c r="A80" s="13" t="s">
        <v>641</v>
      </c>
      <c r="B80" s="14" t="s">
        <v>642</v>
      </c>
      <c r="C80" s="15" t="s">
        <v>180</v>
      </c>
      <c r="D80" s="14" t="s">
        <v>643</v>
      </c>
      <c r="E80" s="14" t="s">
        <v>524</v>
      </c>
      <c r="F80" s="14" t="s">
        <v>644</v>
      </c>
      <c r="G80" s="14" t="s">
        <v>285</v>
      </c>
      <c r="H80" s="14" t="s">
        <v>241</v>
      </c>
      <c r="I80" s="14"/>
      <c r="J80" s="14" t="s">
        <v>537</v>
      </c>
      <c r="K80" s="14" t="s">
        <v>204</v>
      </c>
      <c r="L80" s="14"/>
      <c r="M80" s="16" t="s">
        <v>645</v>
      </c>
      <c r="N80" s="14" t="s">
        <v>199</v>
      </c>
      <c r="O80" s="14"/>
      <c r="P80" s="14"/>
      <c r="Q80" s="14"/>
      <c r="R80" s="14"/>
      <c r="S80" s="14">
        <v>2</v>
      </c>
      <c r="T80" s="14" t="s">
        <v>646</v>
      </c>
      <c r="U80" s="14"/>
      <c r="V80" s="14" t="s">
        <v>97</v>
      </c>
      <c r="W80" s="17">
        <v>0.5</v>
      </c>
      <c r="X80" s="17">
        <v>0.35</v>
      </c>
      <c r="Y80" s="17">
        <v>0.55000000000000004</v>
      </c>
      <c r="Z80" s="17">
        <v>0.75</v>
      </c>
      <c r="AA80" s="18" t="b">
        <f>FALSE()</f>
        <v>0</v>
      </c>
      <c r="AB80" s="18" t="s">
        <v>98</v>
      </c>
      <c r="AC80" s="19">
        <v>0</v>
      </c>
      <c r="AD80" s="19">
        <v>0</v>
      </c>
      <c r="AE80" s="19">
        <v>7.0999999999999994E-2</v>
      </c>
      <c r="AF80" s="19">
        <v>4.8000000000000001E-2</v>
      </c>
      <c r="AG80" s="19">
        <v>0.214</v>
      </c>
      <c r="AH80" s="19">
        <v>0.42899999999999999</v>
      </c>
      <c r="AI80" s="19">
        <v>0</v>
      </c>
      <c r="AJ80" s="19">
        <v>0.23799999999999999</v>
      </c>
      <c r="AK80" s="18" t="s">
        <v>193</v>
      </c>
      <c r="BF80" t="s">
        <v>99</v>
      </c>
      <c r="BH80" t="s">
        <v>100</v>
      </c>
      <c r="BI80" t="s">
        <v>101</v>
      </c>
    </row>
    <row r="81" spans="1:62" ht="30" customHeight="1" x14ac:dyDescent="0.2">
      <c r="A81" s="20" t="s">
        <v>1687</v>
      </c>
      <c r="B81" s="21" t="s">
        <v>855</v>
      </c>
      <c r="C81" s="22">
        <v>2007</v>
      </c>
      <c r="D81" s="25" t="s">
        <v>1688</v>
      </c>
      <c r="E81" s="21" t="s">
        <v>737</v>
      </c>
      <c r="F81" s="21" t="s">
        <v>857</v>
      </c>
      <c r="G81" s="21" t="s">
        <v>131</v>
      </c>
      <c r="H81" s="21" t="s">
        <v>108</v>
      </c>
      <c r="I81" s="21"/>
      <c r="J81" s="21" t="s">
        <v>132</v>
      </c>
      <c r="K81" s="21" t="s">
        <v>859</v>
      </c>
      <c r="L81" s="21"/>
      <c r="M81" s="23" t="s">
        <v>1668</v>
      </c>
      <c r="N81" s="21" t="s">
        <v>111</v>
      </c>
      <c r="O81" s="21" t="s">
        <v>464</v>
      </c>
      <c r="P81" s="21"/>
      <c r="Q81" s="21"/>
      <c r="R81" s="21"/>
      <c r="S81" s="21">
        <v>3</v>
      </c>
      <c r="T81" s="21"/>
      <c r="U81" s="21" t="s">
        <v>1689</v>
      </c>
      <c r="V81" s="21" t="s">
        <v>861</v>
      </c>
      <c r="W81" s="17">
        <v>0.9</v>
      </c>
      <c r="X81" s="17">
        <v>0.77</v>
      </c>
      <c r="Y81" s="17">
        <v>0.4</v>
      </c>
      <c r="Z81" s="17">
        <v>1</v>
      </c>
      <c r="AA81" s="18" t="b">
        <f>TRUE()</f>
        <v>1</v>
      </c>
      <c r="AB81" s="18" t="s">
        <v>246</v>
      </c>
      <c r="AC81" s="19">
        <v>0</v>
      </c>
      <c r="AD81" s="19">
        <v>0</v>
      </c>
      <c r="AE81" s="19">
        <v>0.81399999999999995</v>
      </c>
      <c r="AF81" s="19">
        <v>0.186</v>
      </c>
      <c r="AG81" s="19">
        <v>0</v>
      </c>
      <c r="AH81" s="19">
        <v>0</v>
      </c>
      <c r="AI81" s="19">
        <v>0</v>
      </c>
      <c r="AJ81" s="19">
        <v>0</v>
      </c>
      <c r="AK81" s="18" t="s">
        <v>342</v>
      </c>
      <c r="AL81">
        <v>0.83</v>
      </c>
      <c r="AM81">
        <v>0.71</v>
      </c>
      <c r="AN81">
        <v>0.33</v>
      </c>
      <c r="AO81">
        <v>1</v>
      </c>
      <c r="AP81">
        <v>0.5</v>
      </c>
      <c r="AQ81">
        <v>0.17</v>
      </c>
      <c r="AR81">
        <v>0</v>
      </c>
      <c r="BF81" t="s">
        <v>247</v>
      </c>
      <c r="BG81" t="s">
        <v>248</v>
      </c>
      <c r="BH81" t="s">
        <v>249</v>
      </c>
      <c r="BI81" t="s">
        <v>1690</v>
      </c>
      <c r="BJ81">
        <v>1</v>
      </c>
    </row>
    <row r="82" spans="1:62" ht="30" customHeight="1" x14ac:dyDescent="0.2">
      <c r="A82" s="13" t="s">
        <v>652</v>
      </c>
      <c r="B82" s="14" t="s">
        <v>653</v>
      </c>
      <c r="C82" s="15" t="s">
        <v>548</v>
      </c>
      <c r="D82" s="14" t="s">
        <v>654</v>
      </c>
      <c r="E82" s="14" t="s">
        <v>524</v>
      </c>
      <c r="F82" s="14" t="s">
        <v>197</v>
      </c>
      <c r="G82" s="14" t="s">
        <v>107</v>
      </c>
      <c r="H82" s="14" t="s">
        <v>108</v>
      </c>
      <c r="I82" s="14"/>
      <c r="J82" s="14" t="s">
        <v>109</v>
      </c>
      <c r="K82" s="14" t="s">
        <v>93</v>
      </c>
      <c r="L82" s="14"/>
      <c r="M82" s="16" t="s">
        <v>655</v>
      </c>
      <c r="N82" s="14" t="s">
        <v>199</v>
      </c>
      <c r="O82" s="14" t="s">
        <v>656</v>
      </c>
      <c r="P82" s="14"/>
      <c r="Q82" s="14"/>
      <c r="R82" s="14"/>
      <c r="S82" s="14">
        <v>3</v>
      </c>
      <c r="T82" s="14"/>
      <c r="U82" s="14"/>
      <c r="V82" s="14" t="s">
        <v>97</v>
      </c>
      <c r="W82" s="17">
        <v>0.62</v>
      </c>
      <c r="X82" s="17">
        <v>0.5</v>
      </c>
      <c r="Y82" s="17">
        <v>0.42</v>
      </c>
      <c r="Z82" s="17">
        <v>0.68</v>
      </c>
      <c r="AA82" s="18" t="b">
        <f>FALSE()</f>
        <v>0</v>
      </c>
      <c r="AB82" s="18" t="s">
        <v>98</v>
      </c>
      <c r="AC82" s="19">
        <v>0.19600000000000001</v>
      </c>
      <c r="AD82" s="19">
        <v>0.39100000000000001</v>
      </c>
      <c r="AE82" s="19">
        <v>4.2999999999999997E-2</v>
      </c>
      <c r="AF82" s="19">
        <v>6.5000000000000002E-2</v>
      </c>
      <c r="AG82" s="19">
        <v>4.2999999999999997E-2</v>
      </c>
      <c r="AH82" s="19">
        <v>0.26100000000000001</v>
      </c>
      <c r="AI82" s="19" t="s">
        <v>657</v>
      </c>
      <c r="AJ82" s="19">
        <v>0</v>
      </c>
      <c r="AK82" s="18" t="s">
        <v>89</v>
      </c>
      <c r="BF82" t="s">
        <v>99</v>
      </c>
      <c r="BH82" t="s">
        <v>100</v>
      </c>
      <c r="BI82" t="s">
        <v>101</v>
      </c>
    </row>
    <row r="83" spans="1:62" ht="30" customHeight="1" x14ac:dyDescent="0.2">
      <c r="A83" s="20" t="s">
        <v>658</v>
      </c>
      <c r="B83" s="21" t="s">
        <v>659</v>
      </c>
      <c r="C83" s="22" t="s">
        <v>104</v>
      </c>
      <c r="D83" s="21" t="s">
        <v>660</v>
      </c>
      <c r="E83" s="21" t="s">
        <v>524</v>
      </c>
      <c r="F83" s="21" t="s">
        <v>631</v>
      </c>
      <c r="G83" s="21" t="s">
        <v>285</v>
      </c>
      <c r="H83" s="21" t="s">
        <v>108</v>
      </c>
      <c r="I83" s="21"/>
      <c r="J83" s="21" t="s">
        <v>661</v>
      </c>
      <c r="K83" s="21" t="s">
        <v>590</v>
      </c>
      <c r="L83" s="21"/>
      <c r="M83" s="23" t="s">
        <v>662</v>
      </c>
      <c r="N83" s="21" t="s">
        <v>199</v>
      </c>
      <c r="O83" s="21" t="s">
        <v>663</v>
      </c>
      <c r="P83" s="21"/>
      <c r="Q83" s="21"/>
      <c r="R83" s="21"/>
      <c r="S83" s="21">
        <v>4</v>
      </c>
      <c r="T83" s="21" t="s">
        <v>664</v>
      </c>
      <c r="U83" s="21"/>
      <c r="V83" s="14" t="s">
        <v>97</v>
      </c>
      <c r="W83" s="17">
        <v>0.74</v>
      </c>
      <c r="X83" s="17">
        <v>0.61</v>
      </c>
      <c r="Y83" s="17">
        <v>0.15</v>
      </c>
      <c r="Z83" s="17">
        <v>0.92</v>
      </c>
      <c r="AA83" s="18" t="b">
        <f>FALSE()</f>
        <v>0</v>
      </c>
      <c r="AB83" s="18" t="s">
        <v>98</v>
      </c>
      <c r="AC83" s="19">
        <v>0</v>
      </c>
      <c r="AD83" s="19">
        <v>0</v>
      </c>
      <c r="AE83" s="19">
        <v>0.75600000000000001</v>
      </c>
      <c r="AF83" s="19">
        <v>0.19500000000000001</v>
      </c>
      <c r="AG83" s="19">
        <v>0</v>
      </c>
      <c r="AH83" s="19">
        <v>0</v>
      </c>
      <c r="AI83" s="19">
        <v>0</v>
      </c>
      <c r="AJ83" s="19">
        <v>4.9000000000000002E-2</v>
      </c>
      <c r="AK83" s="18" t="s">
        <v>342</v>
      </c>
      <c r="BF83" t="s">
        <v>99</v>
      </c>
      <c r="BH83" t="s">
        <v>100</v>
      </c>
      <c r="BI83" t="s">
        <v>101</v>
      </c>
    </row>
    <row r="84" spans="1:62" ht="30" customHeight="1" x14ac:dyDescent="0.2">
      <c r="A84" s="13" t="s">
        <v>665</v>
      </c>
      <c r="B84" s="14" t="s">
        <v>666</v>
      </c>
      <c r="C84" s="15" t="s">
        <v>431</v>
      </c>
      <c r="D84" s="14" t="s">
        <v>667</v>
      </c>
      <c r="E84" s="14" t="s">
        <v>524</v>
      </c>
      <c r="F84" s="14" t="s">
        <v>631</v>
      </c>
      <c r="G84" s="14" t="s">
        <v>224</v>
      </c>
      <c r="H84" s="14" t="s">
        <v>108</v>
      </c>
      <c r="I84" s="14"/>
      <c r="J84" s="14" t="s">
        <v>661</v>
      </c>
      <c r="K84" s="14" t="s">
        <v>590</v>
      </c>
      <c r="L84" s="14"/>
      <c r="M84" s="16" t="s">
        <v>668</v>
      </c>
      <c r="N84" s="14" t="s">
        <v>199</v>
      </c>
      <c r="O84" s="14" t="s">
        <v>669</v>
      </c>
      <c r="P84" s="14"/>
      <c r="Q84" s="14"/>
      <c r="R84" s="14"/>
      <c r="S84" s="14">
        <v>3</v>
      </c>
      <c r="T84" s="14"/>
      <c r="U84" s="14"/>
      <c r="V84" s="14" t="s">
        <v>97</v>
      </c>
      <c r="W84" s="17">
        <v>0.74</v>
      </c>
      <c r="X84" s="17">
        <v>0.66</v>
      </c>
      <c r="Y84" s="17">
        <v>0.2</v>
      </c>
      <c r="Z84" s="17">
        <v>0.92</v>
      </c>
      <c r="AA84" s="18" t="b">
        <f>FALSE()</f>
        <v>0</v>
      </c>
      <c r="AB84" s="18" t="s">
        <v>126</v>
      </c>
      <c r="AC84" s="19">
        <v>0</v>
      </c>
      <c r="AD84" s="19">
        <v>0</v>
      </c>
      <c r="AE84" s="19">
        <v>0.75600000000000001</v>
      </c>
      <c r="AF84" s="19">
        <v>0.19500000000000001</v>
      </c>
      <c r="AG84" s="19">
        <v>0</v>
      </c>
      <c r="AH84" s="19">
        <v>0</v>
      </c>
      <c r="AI84" s="19">
        <v>0</v>
      </c>
      <c r="AJ84" s="19">
        <v>4.9000000000000002E-2</v>
      </c>
      <c r="AK84" s="18" t="s">
        <v>342</v>
      </c>
      <c r="BF84" t="s">
        <v>99</v>
      </c>
      <c r="BH84" t="s">
        <v>100</v>
      </c>
      <c r="BI84" t="s">
        <v>101</v>
      </c>
    </row>
    <row r="85" spans="1:62" ht="30" customHeight="1" x14ac:dyDescent="0.2">
      <c r="A85" s="20" t="s">
        <v>1056</v>
      </c>
      <c r="B85" s="21" t="s">
        <v>1057</v>
      </c>
      <c r="C85" s="27">
        <v>2007</v>
      </c>
      <c r="D85" s="21" t="s">
        <v>1058</v>
      </c>
      <c r="E85" s="21" t="s">
        <v>524</v>
      </c>
      <c r="F85" s="21" t="s">
        <v>644</v>
      </c>
      <c r="G85" s="21" t="s">
        <v>388</v>
      </c>
      <c r="H85" s="21" t="s">
        <v>91</v>
      </c>
      <c r="I85" s="21"/>
      <c r="J85" s="21" t="s">
        <v>1059</v>
      </c>
      <c r="K85" s="21" t="s">
        <v>693</v>
      </c>
      <c r="L85" s="21"/>
      <c r="M85" s="23" t="s">
        <v>1060</v>
      </c>
      <c r="N85" s="21" t="s">
        <v>199</v>
      </c>
      <c r="O85" s="21" t="s">
        <v>244</v>
      </c>
      <c r="P85" s="21" t="s">
        <v>1061</v>
      </c>
      <c r="Q85" s="21" t="s">
        <v>901</v>
      </c>
      <c r="R85" s="21"/>
      <c r="S85" s="21">
        <v>3</v>
      </c>
      <c r="T85" s="21"/>
      <c r="U85" s="21"/>
      <c r="V85" s="21" t="s">
        <v>902</v>
      </c>
      <c r="W85" s="17">
        <v>0.4</v>
      </c>
      <c r="X85" s="17">
        <v>0.3</v>
      </c>
      <c r="Y85" s="17">
        <v>0.7</v>
      </c>
      <c r="Z85" s="17">
        <v>0.75</v>
      </c>
      <c r="AA85" s="18" t="b">
        <f>TRUE()</f>
        <v>1</v>
      </c>
      <c r="AB85" s="18" t="s">
        <v>246</v>
      </c>
      <c r="AC85" s="19">
        <v>0</v>
      </c>
      <c r="AD85" s="19">
        <v>0</v>
      </c>
      <c r="AE85" s="19">
        <v>0</v>
      </c>
      <c r="AF85" s="19">
        <v>0.378</v>
      </c>
      <c r="AG85" s="19">
        <v>0.33300000000000002</v>
      </c>
      <c r="AH85" s="19">
        <v>0</v>
      </c>
      <c r="AI85" s="19">
        <v>0</v>
      </c>
      <c r="AJ85" s="19">
        <v>0.28899999999999998</v>
      </c>
      <c r="AK85" s="18" t="s">
        <v>442</v>
      </c>
      <c r="AL85">
        <v>0.33</v>
      </c>
      <c r="AM85">
        <v>0.14000000000000001</v>
      </c>
      <c r="AN85">
        <v>1</v>
      </c>
      <c r="AO85">
        <v>0.83</v>
      </c>
      <c r="AP85">
        <v>0.33</v>
      </c>
      <c r="AQ85">
        <v>0.67</v>
      </c>
      <c r="AR85">
        <v>0.71</v>
      </c>
      <c r="BF85" t="s">
        <v>247</v>
      </c>
      <c r="BG85" t="s">
        <v>265</v>
      </c>
      <c r="BH85" t="s">
        <v>249</v>
      </c>
      <c r="BI85" t="s">
        <v>1062</v>
      </c>
      <c r="BJ85">
        <v>0.5</v>
      </c>
    </row>
    <row r="86" spans="1:62" ht="30" customHeight="1" x14ac:dyDescent="0.2">
      <c r="A86" s="13" t="s">
        <v>675</v>
      </c>
      <c r="B86" s="14" t="s">
        <v>676</v>
      </c>
      <c r="C86" s="15" t="s">
        <v>274</v>
      </c>
      <c r="D86" s="14" t="s">
        <v>677</v>
      </c>
      <c r="E86" s="14" t="s">
        <v>524</v>
      </c>
      <c r="F86" s="14" t="s">
        <v>644</v>
      </c>
      <c r="G86" s="14" t="s">
        <v>224</v>
      </c>
      <c r="H86" s="14" t="s">
        <v>108</v>
      </c>
      <c r="I86" s="14"/>
      <c r="J86" s="14" t="s">
        <v>661</v>
      </c>
      <c r="K86" s="14" t="s">
        <v>204</v>
      </c>
      <c r="L86" s="14"/>
      <c r="M86" s="16" t="s">
        <v>678</v>
      </c>
      <c r="N86" s="14" t="s">
        <v>199</v>
      </c>
      <c r="O86" s="14"/>
      <c r="P86" s="14"/>
      <c r="Q86" s="14"/>
      <c r="R86" s="14"/>
      <c r="S86" s="14">
        <v>3</v>
      </c>
      <c r="T86" s="14"/>
      <c r="U86" s="14"/>
      <c r="V86" s="14" t="s">
        <v>97</v>
      </c>
      <c r="W86" s="17">
        <v>0.5</v>
      </c>
      <c r="X86" s="17">
        <v>0.4</v>
      </c>
      <c r="Y86" s="17">
        <v>0.6</v>
      </c>
      <c r="Z86" s="17">
        <v>0.75</v>
      </c>
      <c r="AA86" s="18" t="b">
        <f>FALSE()</f>
        <v>0</v>
      </c>
      <c r="AB86" s="18" t="s">
        <v>126</v>
      </c>
      <c r="AC86" s="19">
        <v>0</v>
      </c>
      <c r="AD86" s="19">
        <v>0</v>
      </c>
      <c r="AE86" s="19">
        <v>7.0999999999999994E-2</v>
      </c>
      <c r="AF86" s="19">
        <v>4.8000000000000001E-2</v>
      </c>
      <c r="AG86" s="19">
        <v>0.214</v>
      </c>
      <c r="AH86" s="19">
        <v>0.42899999999999999</v>
      </c>
      <c r="AI86" s="19">
        <v>0</v>
      </c>
      <c r="AJ86" s="19">
        <v>0.23799999999999999</v>
      </c>
      <c r="AK86" s="18" t="s">
        <v>193</v>
      </c>
      <c r="BF86" t="s">
        <v>99</v>
      </c>
      <c r="BH86" t="s">
        <v>100</v>
      </c>
      <c r="BI86" t="s">
        <v>101</v>
      </c>
    </row>
    <row r="87" spans="1:62" ht="30" customHeight="1" x14ac:dyDescent="0.2">
      <c r="A87" s="13" t="s">
        <v>679</v>
      </c>
      <c r="B87" s="14" t="s">
        <v>680</v>
      </c>
      <c r="C87" s="24">
        <v>1960</v>
      </c>
      <c r="D87" s="14" t="s">
        <v>681</v>
      </c>
      <c r="E87" s="14" t="s">
        <v>524</v>
      </c>
      <c r="F87" s="14" t="s">
        <v>90</v>
      </c>
      <c r="G87" s="14" t="s">
        <v>329</v>
      </c>
      <c r="H87" s="14" t="s">
        <v>516</v>
      </c>
      <c r="I87" s="14"/>
      <c r="J87" s="14" t="s">
        <v>682</v>
      </c>
      <c r="K87" s="14" t="s">
        <v>590</v>
      </c>
      <c r="L87" s="14"/>
      <c r="M87" s="16" t="s">
        <v>683</v>
      </c>
      <c r="N87" s="14" t="s">
        <v>95</v>
      </c>
      <c r="O87" s="14"/>
      <c r="P87" s="14"/>
      <c r="Q87" s="14"/>
      <c r="R87" s="14"/>
      <c r="S87" s="14">
        <v>3</v>
      </c>
      <c r="T87" s="14"/>
      <c r="U87" s="14"/>
      <c r="V87" s="14" t="s">
        <v>97</v>
      </c>
      <c r="W87" s="17">
        <v>0.18</v>
      </c>
      <c r="X87" s="17">
        <v>0.15</v>
      </c>
      <c r="Y87" s="17">
        <v>0.1</v>
      </c>
      <c r="Z87" s="17">
        <v>0.6</v>
      </c>
      <c r="AA87" s="18" t="b">
        <f>FALSE()</f>
        <v>0</v>
      </c>
      <c r="AB87" s="18" t="s">
        <v>98</v>
      </c>
      <c r="AC87" s="19">
        <v>4.7E-2</v>
      </c>
      <c r="AD87" s="19">
        <v>4.7E-2</v>
      </c>
      <c r="AE87" s="19">
        <v>0.53500000000000003</v>
      </c>
      <c r="AF87" s="19">
        <v>0.186</v>
      </c>
      <c r="AG87" s="19">
        <v>4.7E-2</v>
      </c>
      <c r="AH87" s="19">
        <v>4.7E-2</v>
      </c>
      <c r="AI87" s="19">
        <v>4.7E-2</v>
      </c>
      <c r="AJ87" s="19">
        <v>4.7E-2</v>
      </c>
      <c r="AK87" s="18" t="s">
        <v>342</v>
      </c>
      <c r="BF87" t="s">
        <v>99</v>
      </c>
      <c r="BH87" t="s">
        <v>334</v>
      </c>
      <c r="BI87" t="s">
        <v>684</v>
      </c>
    </row>
    <row r="88" spans="1:62" ht="30" customHeight="1" x14ac:dyDescent="0.2">
      <c r="A88" s="25" t="s">
        <v>1314</v>
      </c>
      <c r="B88" s="21" t="s">
        <v>1315</v>
      </c>
      <c r="C88" s="22">
        <v>2007</v>
      </c>
      <c r="D88" s="21" t="s">
        <v>1316</v>
      </c>
      <c r="E88" s="21" t="s">
        <v>231</v>
      </c>
      <c r="F88" s="21" t="s">
        <v>447</v>
      </c>
      <c r="G88" s="21" t="s">
        <v>293</v>
      </c>
      <c r="H88" s="21" t="s">
        <v>91</v>
      </c>
      <c r="I88" s="21"/>
      <c r="J88" s="21" t="s">
        <v>718</v>
      </c>
      <c r="K88" s="21" t="s">
        <v>1302</v>
      </c>
      <c r="L88" s="21"/>
      <c r="M88" s="23" t="s">
        <v>1317</v>
      </c>
      <c r="N88" s="21" t="s">
        <v>192</v>
      </c>
      <c r="O88" s="21" t="s">
        <v>968</v>
      </c>
      <c r="P88" s="21"/>
      <c r="Q88" s="21"/>
      <c r="R88" s="21"/>
      <c r="S88" s="21">
        <v>1</v>
      </c>
      <c r="T88" s="21" t="s">
        <v>1318</v>
      </c>
      <c r="U88" s="21"/>
      <c r="V88" s="21" t="s">
        <v>1305</v>
      </c>
      <c r="W88" s="17">
        <v>0.5</v>
      </c>
      <c r="X88" s="17">
        <v>0.35</v>
      </c>
      <c r="Y88" s="17">
        <v>0.35</v>
      </c>
      <c r="Z88" s="17">
        <v>0.95</v>
      </c>
      <c r="AA88" s="18" t="b">
        <f>TRUE()</f>
        <v>1</v>
      </c>
      <c r="AB88" s="18" t="s">
        <v>246</v>
      </c>
      <c r="AC88" s="19">
        <v>0.66700000000000004</v>
      </c>
      <c r="AD88" s="19">
        <v>0.33300000000000002</v>
      </c>
      <c r="AE88" s="19">
        <v>0</v>
      </c>
      <c r="AF88" s="19">
        <v>0</v>
      </c>
      <c r="AG88" s="19">
        <v>0</v>
      </c>
      <c r="AH88" s="19">
        <v>0</v>
      </c>
      <c r="AI88" s="19">
        <v>0</v>
      </c>
      <c r="AJ88" s="19">
        <v>0</v>
      </c>
      <c r="AK88" s="18" t="s">
        <v>333</v>
      </c>
      <c r="BF88" t="s">
        <v>99</v>
      </c>
      <c r="BH88" t="s">
        <v>334</v>
      </c>
      <c r="BI88" t="s">
        <v>1026</v>
      </c>
    </row>
    <row r="89" spans="1:62" ht="30" customHeight="1" x14ac:dyDescent="0.2">
      <c r="A89" s="20" t="s">
        <v>690</v>
      </c>
      <c r="B89" s="21" t="s">
        <v>691</v>
      </c>
      <c r="C89" s="22" t="s">
        <v>162</v>
      </c>
      <c r="D89" s="21" t="s">
        <v>692</v>
      </c>
      <c r="E89" s="21" t="s">
        <v>524</v>
      </c>
      <c r="F89" s="21" t="s">
        <v>644</v>
      </c>
      <c r="G89" s="21" t="s">
        <v>131</v>
      </c>
      <c r="H89" s="21" t="s">
        <v>91</v>
      </c>
      <c r="I89" s="21"/>
      <c r="J89" s="21" t="s">
        <v>132</v>
      </c>
      <c r="K89" s="21" t="s">
        <v>693</v>
      </c>
      <c r="L89" s="21"/>
      <c r="M89" s="23" t="s">
        <v>694</v>
      </c>
      <c r="N89" s="21" t="s">
        <v>199</v>
      </c>
      <c r="O89" s="21" t="s">
        <v>206</v>
      </c>
      <c r="P89" s="21"/>
      <c r="Q89" s="21"/>
      <c r="R89" s="21"/>
      <c r="S89" s="21">
        <v>3</v>
      </c>
      <c r="T89" s="21"/>
      <c r="U89" s="21"/>
      <c r="V89" s="14" t="s">
        <v>97</v>
      </c>
      <c r="W89" s="17">
        <v>0.45</v>
      </c>
      <c r="X89" s="17">
        <v>0.3</v>
      </c>
      <c r="Y89" s="17">
        <v>0.65</v>
      </c>
      <c r="Z89" s="17">
        <v>0.75</v>
      </c>
      <c r="AA89" s="18" t="b">
        <f>FALSE()</f>
        <v>0</v>
      </c>
      <c r="AB89" s="18" t="s">
        <v>98</v>
      </c>
      <c r="AC89" s="19">
        <v>0</v>
      </c>
      <c r="AD89" s="19">
        <v>0</v>
      </c>
      <c r="AE89" s="19">
        <v>0</v>
      </c>
      <c r="AF89" s="19">
        <v>0.378</v>
      </c>
      <c r="AG89" s="19">
        <v>0.33300000000000002</v>
      </c>
      <c r="AH89" s="19">
        <v>0</v>
      </c>
      <c r="AI89" s="19">
        <v>0</v>
      </c>
      <c r="AJ89" s="19">
        <v>0.28899999999999998</v>
      </c>
      <c r="AK89" s="18" t="s">
        <v>442</v>
      </c>
      <c r="BF89" t="s">
        <v>99</v>
      </c>
      <c r="BH89" t="s">
        <v>100</v>
      </c>
      <c r="BI89" t="s">
        <v>101</v>
      </c>
    </row>
    <row r="90" spans="1:62" ht="30" customHeight="1" x14ac:dyDescent="0.2">
      <c r="A90" s="13" t="s">
        <v>695</v>
      </c>
      <c r="B90" s="14" t="s">
        <v>696</v>
      </c>
      <c r="C90" s="15" t="s">
        <v>104</v>
      </c>
      <c r="D90" s="14" t="s">
        <v>697</v>
      </c>
      <c r="E90" s="14" t="s">
        <v>524</v>
      </c>
      <c r="F90" s="14" t="s">
        <v>644</v>
      </c>
      <c r="G90" s="14" t="s">
        <v>224</v>
      </c>
      <c r="H90" s="14" t="s">
        <v>108</v>
      </c>
      <c r="I90" s="14"/>
      <c r="J90" s="14" t="s">
        <v>661</v>
      </c>
      <c r="K90" s="14" t="s">
        <v>693</v>
      </c>
      <c r="L90" s="14"/>
      <c r="M90" s="16" t="s">
        <v>698</v>
      </c>
      <c r="N90" s="14" t="s">
        <v>199</v>
      </c>
      <c r="O90" s="14" t="s">
        <v>165</v>
      </c>
      <c r="P90" s="14"/>
      <c r="Q90" s="14"/>
      <c r="R90" s="14"/>
      <c r="S90" s="14">
        <v>3</v>
      </c>
      <c r="T90" s="14"/>
      <c r="U90" s="14"/>
      <c r="V90" s="14" t="s">
        <v>97</v>
      </c>
      <c r="W90" s="17">
        <v>0.45</v>
      </c>
      <c r="X90" s="17">
        <v>0.35</v>
      </c>
      <c r="Y90" s="17">
        <v>0.7</v>
      </c>
      <c r="Z90" s="17">
        <v>0.75</v>
      </c>
      <c r="AA90" s="18" t="b">
        <f>FALSE()</f>
        <v>0</v>
      </c>
      <c r="AB90" s="18" t="s">
        <v>126</v>
      </c>
      <c r="AC90" s="19">
        <v>0</v>
      </c>
      <c r="AD90" s="19">
        <v>0</v>
      </c>
      <c r="AE90" s="19">
        <v>0</v>
      </c>
      <c r="AF90" s="19">
        <v>0.378</v>
      </c>
      <c r="AG90" s="19">
        <v>0.33300000000000002</v>
      </c>
      <c r="AH90" s="19">
        <v>0</v>
      </c>
      <c r="AI90" s="19">
        <v>0</v>
      </c>
      <c r="AJ90" s="19">
        <v>0.28899999999999998</v>
      </c>
      <c r="AK90" s="18" t="s">
        <v>442</v>
      </c>
      <c r="BF90" t="s">
        <v>99</v>
      </c>
      <c r="BH90" t="s">
        <v>100</v>
      </c>
      <c r="BI90" t="s">
        <v>101</v>
      </c>
    </row>
    <row r="91" spans="1:62" ht="30" customHeight="1" x14ac:dyDescent="0.2">
      <c r="A91" s="13" t="s">
        <v>949</v>
      </c>
      <c r="B91" s="14" t="s">
        <v>950</v>
      </c>
      <c r="C91" s="24">
        <v>2008</v>
      </c>
      <c r="D91" s="14" t="s">
        <v>951</v>
      </c>
      <c r="E91" s="14" t="s">
        <v>788</v>
      </c>
      <c r="F91" s="14" t="s">
        <v>952</v>
      </c>
      <c r="G91" s="14" t="s">
        <v>293</v>
      </c>
      <c r="H91" s="14" t="s">
        <v>91</v>
      </c>
      <c r="I91" s="14"/>
      <c r="J91" s="14" t="s">
        <v>790</v>
      </c>
      <c r="K91" s="14" t="s">
        <v>295</v>
      </c>
      <c r="L91" s="14"/>
      <c r="M91" s="16" t="s">
        <v>953</v>
      </c>
      <c r="N91" s="14" t="s">
        <v>297</v>
      </c>
      <c r="O91" s="14" t="s">
        <v>271</v>
      </c>
      <c r="P91" s="14" t="s">
        <v>954</v>
      </c>
      <c r="Q91" s="14"/>
      <c r="R91" s="14"/>
      <c r="S91" s="14">
        <v>2</v>
      </c>
      <c r="T91" s="14" t="s">
        <v>955</v>
      </c>
      <c r="U91" s="14"/>
      <c r="V91" s="21" t="s">
        <v>97</v>
      </c>
      <c r="W91" s="17">
        <v>0.3</v>
      </c>
      <c r="X91" s="17">
        <v>0.25</v>
      </c>
      <c r="Y91" s="17">
        <v>0.43</v>
      </c>
      <c r="Z91" s="17">
        <v>0</v>
      </c>
      <c r="AA91" s="18" t="b">
        <f>TRUE()</f>
        <v>1</v>
      </c>
      <c r="AB91" s="18" t="s">
        <v>246</v>
      </c>
      <c r="AC91" s="19">
        <v>0.184</v>
      </c>
      <c r="AD91" s="19">
        <v>0</v>
      </c>
      <c r="AE91" s="19">
        <v>0</v>
      </c>
      <c r="AF91" s="19">
        <v>0</v>
      </c>
      <c r="AG91" s="19">
        <v>0</v>
      </c>
      <c r="AH91" s="19">
        <v>0</v>
      </c>
      <c r="AI91" s="19">
        <v>0.81599999999999995</v>
      </c>
      <c r="AJ91" s="19">
        <v>0</v>
      </c>
      <c r="AK91" s="18" t="s">
        <v>299</v>
      </c>
      <c r="AL91">
        <v>0.17</v>
      </c>
      <c r="AM91">
        <v>0</v>
      </c>
      <c r="AN91">
        <v>0.33</v>
      </c>
      <c r="AO91">
        <v>0.83</v>
      </c>
      <c r="AP91">
        <v>0.83</v>
      </c>
      <c r="AQ91">
        <v>0.33</v>
      </c>
      <c r="AR91">
        <v>0</v>
      </c>
      <c r="BF91" t="s">
        <v>247</v>
      </c>
      <c r="BG91" t="s">
        <v>265</v>
      </c>
      <c r="BH91" t="s">
        <v>249</v>
      </c>
      <c r="BI91" t="s">
        <v>956</v>
      </c>
      <c r="BJ91">
        <v>0</v>
      </c>
    </row>
    <row r="92" spans="1:62" ht="30" customHeight="1" x14ac:dyDescent="0.2">
      <c r="A92" s="20" t="s">
        <v>1089</v>
      </c>
      <c r="B92" s="21" t="s">
        <v>459</v>
      </c>
      <c r="C92" s="22">
        <v>2008</v>
      </c>
      <c r="D92" s="21" t="s">
        <v>1090</v>
      </c>
      <c r="E92" s="21" t="s">
        <v>231</v>
      </c>
      <c r="F92" s="21" t="s">
        <v>447</v>
      </c>
      <c r="G92" s="21" t="s">
        <v>293</v>
      </c>
      <c r="H92" s="21" t="s">
        <v>91</v>
      </c>
      <c r="I92" s="21"/>
      <c r="J92" s="21" t="s">
        <v>462</v>
      </c>
      <c r="K92" s="21" t="s">
        <v>448</v>
      </c>
      <c r="L92" s="21"/>
      <c r="M92" s="23" t="s">
        <v>1091</v>
      </c>
      <c r="N92" s="21" t="s">
        <v>192</v>
      </c>
      <c r="O92" s="21" t="s">
        <v>464</v>
      </c>
      <c r="P92" s="21"/>
      <c r="Q92" s="21"/>
      <c r="R92" s="21"/>
      <c r="S92" s="21">
        <v>3</v>
      </c>
      <c r="T92" s="21" t="s">
        <v>1092</v>
      </c>
      <c r="U92" s="21"/>
      <c r="V92" s="21" t="s">
        <v>97</v>
      </c>
      <c r="W92" s="17">
        <v>0.5</v>
      </c>
      <c r="X92" s="17">
        <v>0.35</v>
      </c>
      <c r="Y92" s="17">
        <v>0.35</v>
      </c>
      <c r="Z92" s="17">
        <v>0.95</v>
      </c>
      <c r="AA92" s="18" t="b">
        <f>TRUE()</f>
        <v>1</v>
      </c>
      <c r="AB92" s="18" t="s">
        <v>246</v>
      </c>
      <c r="AC92" s="19">
        <v>0.51500000000000001</v>
      </c>
      <c r="AD92" s="19">
        <v>0.39400000000000002</v>
      </c>
      <c r="AE92" s="19">
        <v>9.0999999999999998E-2</v>
      </c>
      <c r="AF92" s="19">
        <v>0</v>
      </c>
      <c r="AG92" s="19">
        <v>0</v>
      </c>
      <c r="AH92" s="19">
        <v>0</v>
      </c>
      <c r="AI92" s="19">
        <v>0</v>
      </c>
      <c r="AJ92" s="19">
        <v>0</v>
      </c>
      <c r="AK92" s="18" t="s">
        <v>333</v>
      </c>
      <c r="BF92" t="s">
        <v>99</v>
      </c>
      <c r="BH92" t="s">
        <v>334</v>
      </c>
      <c r="BI92" t="s">
        <v>1026</v>
      </c>
    </row>
    <row r="93" spans="1:62" ht="30" customHeight="1" x14ac:dyDescent="0.2">
      <c r="A93" s="20" t="s">
        <v>708</v>
      </c>
      <c r="B93" s="21" t="s">
        <v>709</v>
      </c>
      <c r="C93" s="22" t="s">
        <v>445</v>
      </c>
      <c r="D93" s="21" t="s">
        <v>710</v>
      </c>
      <c r="E93" s="21" t="s">
        <v>524</v>
      </c>
      <c r="F93" s="21" t="s">
        <v>90</v>
      </c>
      <c r="G93" s="21" t="s">
        <v>150</v>
      </c>
      <c r="H93" s="21" t="s">
        <v>516</v>
      </c>
      <c r="I93" s="21"/>
      <c r="J93" s="21" t="s">
        <v>682</v>
      </c>
      <c r="K93" s="21" t="s">
        <v>330</v>
      </c>
      <c r="L93" s="21"/>
      <c r="M93" s="23" t="s">
        <v>711</v>
      </c>
      <c r="N93" s="21" t="s">
        <v>95</v>
      </c>
      <c r="O93" s="21" t="s">
        <v>712</v>
      </c>
      <c r="P93" s="21"/>
      <c r="Q93" s="21"/>
      <c r="R93" s="21"/>
      <c r="S93" s="21">
        <v>1</v>
      </c>
      <c r="T93" s="21" t="s">
        <v>2060</v>
      </c>
      <c r="U93" s="21"/>
      <c r="V93" s="14" t="s">
        <v>97</v>
      </c>
      <c r="W93" s="17">
        <v>0.1</v>
      </c>
      <c r="X93" s="17">
        <v>0.1</v>
      </c>
      <c r="Y93" s="17">
        <v>0.1</v>
      </c>
      <c r="Z93" s="17">
        <v>0.5</v>
      </c>
      <c r="AA93" s="18" t="b">
        <f>FALSE()</f>
        <v>0</v>
      </c>
      <c r="AB93" s="18" t="s">
        <v>98</v>
      </c>
      <c r="AC93" s="19">
        <v>0.125</v>
      </c>
      <c r="AD93" s="19">
        <v>0.125</v>
      </c>
      <c r="AE93" s="19">
        <v>0.125</v>
      </c>
      <c r="AF93" s="19">
        <v>0.125</v>
      </c>
      <c r="AG93" s="19">
        <v>0.125</v>
      </c>
      <c r="AH93" s="19">
        <v>0.125</v>
      </c>
      <c r="AI93" s="19">
        <v>0.125</v>
      </c>
      <c r="AJ93" s="19">
        <v>0.125</v>
      </c>
      <c r="AK93" s="18" t="s">
        <v>333</v>
      </c>
      <c r="BF93" t="s">
        <v>99</v>
      </c>
      <c r="BH93" t="s">
        <v>100</v>
      </c>
      <c r="BI93" t="s">
        <v>101</v>
      </c>
    </row>
    <row r="94" spans="1:62" ht="30" customHeight="1" x14ac:dyDescent="0.2">
      <c r="A94" s="25" t="s">
        <v>1992</v>
      </c>
      <c r="B94" s="21" t="s">
        <v>1993</v>
      </c>
      <c r="C94" s="22">
        <v>1939</v>
      </c>
      <c r="D94" s="21" t="s">
        <v>1994</v>
      </c>
      <c r="E94" s="21" t="s">
        <v>716</v>
      </c>
      <c r="F94" s="21" t="s">
        <v>292</v>
      </c>
      <c r="G94" s="21" t="s">
        <v>329</v>
      </c>
      <c r="H94" s="21" t="s">
        <v>91</v>
      </c>
      <c r="I94" s="25" t="s">
        <v>2058</v>
      </c>
      <c r="J94" s="25" t="s">
        <v>718</v>
      </c>
      <c r="K94" s="25" t="s">
        <v>295</v>
      </c>
      <c r="L94" s="26" t="s">
        <v>2059</v>
      </c>
      <c r="M94" s="25" t="s">
        <v>1995</v>
      </c>
      <c r="N94" s="14" t="s">
        <v>297</v>
      </c>
      <c r="O94" s="25" t="s">
        <v>721</v>
      </c>
      <c r="P94" s="25"/>
      <c r="Q94" s="25" t="s">
        <v>113</v>
      </c>
      <c r="R94" s="25" t="s">
        <v>610</v>
      </c>
      <c r="S94" s="25">
        <v>4</v>
      </c>
      <c r="T94" s="25" t="s">
        <v>2057</v>
      </c>
      <c r="U94" s="26" t="s">
        <v>2054</v>
      </c>
      <c r="V94" s="25" t="s">
        <v>725</v>
      </c>
      <c r="AK94" s="2" t="s">
        <v>299</v>
      </c>
      <c r="AL94">
        <v>0</v>
      </c>
      <c r="AM94">
        <v>0</v>
      </c>
      <c r="AN94">
        <v>0.33</v>
      </c>
      <c r="AO94">
        <v>0</v>
      </c>
      <c r="AP94">
        <v>0.33</v>
      </c>
      <c r="AQ94">
        <v>0</v>
      </c>
      <c r="AR94">
        <v>0</v>
      </c>
      <c r="AS94" s="2" t="s">
        <v>299</v>
      </c>
      <c r="AT94" s="2" t="s">
        <v>2055</v>
      </c>
      <c r="AV94" s="86" t="s">
        <v>2056</v>
      </c>
      <c r="BF94" t="s">
        <v>99</v>
      </c>
      <c r="BG94" t="s">
        <v>615</v>
      </c>
      <c r="BH94" s="2" t="s">
        <v>2034</v>
      </c>
      <c r="BI94" s="2" t="s">
        <v>727</v>
      </c>
      <c r="BJ94">
        <v>0</v>
      </c>
    </row>
    <row r="95" spans="1:62" ht="30" customHeight="1" x14ac:dyDescent="0.2">
      <c r="A95" s="20" t="s">
        <v>728</v>
      </c>
      <c r="B95" s="21" t="s">
        <v>729</v>
      </c>
      <c r="C95" s="22" t="s">
        <v>180</v>
      </c>
      <c r="D95" s="21" t="s">
        <v>730</v>
      </c>
      <c r="E95" s="21" t="s">
        <v>524</v>
      </c>
      <c r="F95" s="21" t="s">
        <v>197</v>
      </c>
      <c r="G95" s="21" t="s">
        <v>107</v>
      </c>
      <c r="H95" s="21" t="s">
        <v>108</v>
      </c>
      <c r="I95" s="21"/>
      <c r="J95" s="21" t="s">
        <v>109</v>
      </c>
      <c r="K95" s="21" t="s">
        <v>590</v>
      </c>
      <c r="L95" s="21"/>
      <c r="M95" s="23" t="s">
        <v>731</v>
      </c>
      <c r="N95" s="21" t="s">
        <v>199</v>
      </c>
      <c r="O95" s="21" t="s">
        <v>732</v>
      </c>
      <c r="P95" s="21"/>
      <c r="Q95" s="21"/>
      <c r="R95" s="21"/>
      <c r="S95" s="21">
        <v>3</v>
      </c>
      <c r="T95" s="21" t="s">
        <v>733</v>
      </c>
      <c r="U95" s="21"/>
      <c r="V95" s="14" t="s">
        <v>97</v>
      </c>
      <c r="W95" s="17">
        <v>0.7</v>
      </c>
      <c r="X95" s="17">
        <v>0.55000000000000004</v>
      </c>
      <c r="Y95" s="17">
        <v>0.32</v>
      </c>
      <c r="Z95" s="17">
        <v>0.78</v>
      </c>
      <c r="AA95" s="18" t="b">
        <f>FALSE()</f>
        <v>0</v>
      </c>
      <c r="AB95" s="18" t="s">
        <v>98</v>
      </c>
      <c r="AC95" s="19">
        <v>0</v>
      </c>
      <c r="AD95" s="19">
        <v>0</v>
      </c>
      <c r="AE95" s="19">
        <v>0.53500000000000003</v>
      </c>
      <c r="AF95" s="19">
        <v>0.14000000000000001</v>
      </c>
      <c r="AG95" s="19">
        <v>4.7E-2</v>
      </c>
      <c r="AH95" s="19">
        <v>0.27900000000000003</v>
      </c>
      <c r="AI95" s="19">
        <v>0</v>
      </c>
      <c r="AJ95" s="19">
        <v>0</v>
      </c>
      <c r="AK95" s="18" t="s">
        <v>342</v>
      </c>
      <c r="BF95" t="s">
        <v>99</v>
      </c>
      <c r="BH95" t="s">
        <v>100</v>
      </c>
      <c r="BI95" t="s">
        <v>101</v>
      </c>
    </row>
    <row r="96" spans="1:62" ht="30" customHeight="1" x14ac:dyDescent="0.2">
      <c r="A96" s="13" t="s">
        <v>734</v>
      </c>
      <c r="B96" s="14" t="s">
        <v>735</v>
      </c>
      <c r="C96" s="15" t="s">
        <v>167</v>
      </c>
      <c r="D96" s="14" t="s">
        <v>736</v>
      </c>
      <c r="E96" s="14" t="s">
        <v>737</v>
      </c>
      <c r="F96" s="14" t="s">
        <v>590</v>
      </c>
      <c r="G96" s="14" t="s">
        <v>131</v>
      </c>
      <c r="H96" s="14" t="s">
        <v>91</v>
      </c>
      <c r="I96" s="14"/>
      <c r="J96" s="14" t="s">
        <v>132</v>
      </c>
      <c r="K96" s="14" t="s">
        <v>590</v>
      </c>
      <c r="L96" s="14"/>
      <c r="M96" s="16" t="s">
        <v>738</v>
      </c>
      <c r="N96" s="14" t="s">
        <v>111</v>
      </c>
      <c r="O96" s="14" t="s">
        <v>739</v>
      </c>
      <c r="P96" s="14"/>
      <c r="Q96" s="14"/>
      <c r="R96" s="14"/>
      <c r="S96" s="14">
        <v>4</v>
      </c>
      <c r="T96" s="14"/>
      <c r="U96" s="14"/>
      <c r="V96" s="14" t="s">
        <v>97</v>
      </c>
      <c r="W96" s="17">
        <v>0.9</v>
      </c>
      <c r="X96" s="17">
        <v>0.77</v>
      </c>
      <c r="Y96" s="17">
        <v>0.4</v>
      </c>
      <c r="Z96" s="17">
        <v>1</v>
      </c>
      <c r="AA96" s="18" t="b">
        <f>FALSE()</f>
        <v>0</v>
      </c>
      <c r="AB96" s="18" t="s">
        <v>98</v>
      </c>
      <c r="AC96" s="19">
        <v>0</v>
      </c>
      <c r="AD96" s="19">
        <v>0</v>
      </c>
      <c r="AE96" s="19">
        <v>0.81399999999999995</v>
      </c>
      <c r="AF96" s="19">
        <v>0.186</v>
      </c>
      <c r="AG96" s="19">
        <v>0</v>
      </c>
      <c r="AH96" s="19">
        <v>0</v>
      </c>
      <c r="AI96" s="19">
        <v>0</v>
      </c>
      <c r="AJ96" s="19">
        <v>0</v>
      </c>
      <c r="AK96" s="18" t="s">
        <v>342</v>
      </c>
      <c r="BF96" t="s">
        <v>99</v>
      </c>
      <c r="BH96" t="s">
        <v>100</v>
      </c>
      <c r="BI96" t="s">
        <v>101</v>
      </c>
    </row>
    <row r="97" spans="1:62" ht="30" customHeight="1" x14ac:dyDescent="0.2">
      <c r="A97" s="25" t="s">
        <v>1471</v>
      </c>
      <c r="B97" s="21" t="s">
        <v>1472</v>
      </c>
      <c r="C97" s="22">
        <v>2009</v>
      </c>
      <c r="D97" s="21" t="s">
        <v>1473</v>
      </c>
      <c r="E97" s="21" t="s">
        <v>524</v>
      </c>
      <c r="F97" s="21" t="s">
        <v>588</v>
      </c>
      <c r="G97" s="21" t="s">
        <v>261</v>
      </c>
      <c r="H97" s="21" t="s">
        <v>91</v>
      </c>
      <c r="I97" s="21"/>
      <c r="J97" s="21" t="s">
        <v>589</v>
      </c>
      <c r="K97" s="21" t="s">
        <v>204</v>
      </c>
      <c r="L97" s="21"/>
      <c r="M97" s="23" t="s">
        <v>1474</v>
      </c>
      <c r="N97" s="21" t="s">
        <v>199</v>
      </c>
      <c r="O97" s="21" t="s">
        <v>609</v>
      </c>
      <c r="P97" s="21"/>
      <c r="Q97" s="21"/>
      <c r="R97" s="21"/>
      <c r="S97" s="21">
        <v>3</v>
      </c>
      <c r="T97" s="21" t="s">
        <v>1991</v>
      </c>
      <c r="U97" s="21" t="s">
        <v>1475</v>
      </c>
      <c r="V97" s="21" t="s">
        <v>1025</v>
      </c>
      <c r="W97" s="17">
        <v>0.81</v>
      </c>
      <c r="X97" s="17">
        <v>0.67</v>
      </c>
      <c r="Y97" s="17">
        <v>0.42</v>
      </c>
      <c r="Z97" s="17">
        <v>0.83</v>
      </c>
      <c r="AA97" s="18" t="b">
        <f>TRUE()</f>
        <v>1</v>
      </c>
      <c r="AB97" s="18" t="s">
        <v>246</v>
      </c>
      <c r="AC97" s="19">
        <v>0</v>
      </c>
      <c r="AD97" s="19">
        <v>0</v>
      </c>
      <c r="AE97" s="19">
        <v>0.214</v>
      </c>
      <c r="AF97" s="19">
        <v>4.8000000000000001E-2</v>
      </c>
      <c r="AG97" s="19">
        <v>0.214</v>
      </c>
      <c r="AH97" s="19">
        <v>0.52400000000000002</v>
      </c>
      <c r="AI97" s="19">
        <v>0</v>
      </c>
      <c r="AJ97" s="19">
        <v>0</v>
      </c>
      <c r="AK97" s="18" t="s">
        <v>193</v>
      </c>
      <c r="AL97">
        <v>0.33</v>
      </c>
      <c r="AM97">
        <v>0.14000000000000001</v>
      </c>
      <c r="AN97">
        <v>0</v>
      </c>
      <c r="AO97">
        <v>0</v>
      </c>
      <c r="AP97">
        <v>0</v>
      </c>
      <c r="AQ97">
        <v>0.33</v>
      </c>
      <c r="AR97">
        <v>0</v>
      </c>
      <c r="BF97" t="s">
        <v>247</v>
      </c>
      <c r="BG97" t="s">
        <v>265</v>
      </c>
      <c r="BH97" t="s">
        <v>249</v>
      </c>
      <c r="BI97" t="s">
        <v>1476</v>
      </c>
    </row>
    <row r="98" spans="1:62" ht="30" customHeight="1" x14ac:dyDescent="0.2">
      <c r="A98" s="13" t="s">
        <v>745</v>
      </c>
      <c r="B98" s="14" t="s">
        <v>746</v>
      </c>
      <c r="C98" s="15" t="s">
        <v>187</v>
      </c>
      <c r="D98" s="14" t="s">
        <v>747</v>
      </c>
      <c r="E98" s="14" t="s">
        <v>737</v>
      </c>
      <c r="F98" s="14" t="s">
        <v>590</v>
      </c>
      <c r="G98" s="14" t="s">
        <v>131</v>
      </c>
      <c r="H98" s="14" t="s">
        <v>91</v>
      </c>
      <c r="I98" s="14"/>
      <c r="J98" s="14" t="s">
        <v>132</v>
      </c>
      <c r="K98" s="14" t="s">
        <v>590</v>
      </c>
      <c r="L98" s="14"/>
      <c r="M98" s="16" t="s">
        <v>748</v>
      </c>
      <c r="N98" s="14" t="s">
        <v>111</v>
      </c>
      <c r="O98" s="14" t="s">
        <v>450</v>
      </c>
      <c r="P98" s="14"/>
      <c r="Q98" s="14"/>
      <c r="R98" s="14"/>
      <c r="S98" s="14">
        <v>4</v>
      </c>
      <c r="T98" s="14"/>
      <c r="U98" s="14"/>
      <c r="V98" s="14" t="s">
        <v>97</v>
      </c>
      <c r="W98" s="17">
        <v>0.9</v>
      </c>
      <c r="X98" s="17">
        <v>0.77</v>
      </c>
      <c r="Y98" s="17">
        <v>0.4</v>
      </c>
      <c r="Z98" s="17">
        <v>1</v>
      </c>
      <c r="AA98" s="18" t="b">
        <f>FALSE()</f>
        <v>0</v>
      </c>
      <c r="AB98" s="18" t="s">
        <v>98</v>
      </c>
      <c r="AC98" s="19">
        <v>0</v>
      </c>
      <c r="AD98" s="19">
        <v>0</v>
      </c>
      <c r="AE98" s="19">
        <v>0.81399999999999995</v>
      </c>
      <c r="AF98" s="19">
        <v>0.186</v>
      </c>
      <c r="AG98" s="19">
        <v>0</v>
      </c>
      <c r="AH98" s="19">
        <v>0</v>
      </c>
      <c r="AI98" s="19">
        <v>0</v>
      </c>
      <c r="AJ98" s="19">
        <v>0</v>
      </c>
      <c r="AK98" s="18" t="s">
        <v>342</v>
      </c>
      <c r="BF98" t="s">
        <v>99</v>
      </c>
      <c r="BH98" t="s">
        <v>100</v>
      </c>
      <c r="BI98" t="s">
        <v>101</v>
      </c>
    </row>
    <row r="99" spans="1:62" ht="30" customHeight="1" x14ac:dyDescent="0.2">
      <c r="A99" s="20" t="s">
        <v>749</v>
      </c>
      <c r="B99" s="21" t="s">
        <v>750</v>
      </c>
      <c r="C99" s="22" t="s">
        <v>445</v>
      </c>
      <c r="D99" s="21" t="s">
        <v>751</v>
      </c>
      <c r="E99" s="21" t="s">
        <v>737</v>
      </c>
      <c r="F99" s="21" t="s">
        <v>590</v>
      </c>
      <c r="G99" s="21" t="s">
        <v>107</v>
      </c>
      <c r="H99" s="21" t="s">
        <v>108</v>
      </c>
      <c r="I99" s="21"/>
      <c r="J99" s="21" t="s">
        <v>661</v>
      </c>
      <c r="K99" s="21" t="s">
        <v>590</v>
      </c>
      <c r="L99" s="21"/>
      <c r="M99" s="23" t="s">
        <v>752</v>
      </c>
      <c r="N99" s="21" t="s">
        <v>111</v>
      </c>
      <c r="O99" s="21" t="s">
        <v>450</v>
      </c>
      <c r="P99" s="21"/>
      <c r="Q99" s="21"/>
      <c r="R99" s="21"/>
      <c r="S99" s="21">
        <v>5</v>
      </c>
      <c r="T99" s="21"/>
      <c r="U99" s="21"/>
      <c r="V99" s="14" t="s">
        <v>97</v>
      </c>
      <c r="W99" s="17">
        <v>0.9</v>
      </c>
      <c r="X99" s="17">
        <v>0.77</v>
      </c>
      <c r="Y99" s="17">
        <v>0.4</v>
      </c>
      <c r="Z99" s="17">
        <v>1</v>
      </c>
      <c r="AA99" s="18" t="b">
        <f>FALSE()</f>
        <v>0</v>
      </c>
      <c r="AB99" s="18" t="s">
        <v>98</v>
      </c>
      <c r="AC99" s="19">
        <v>0</v>
      </c>
      <c r="AD99" s="19">
        <v>0</v>
      </c>
      <c r="AE99" s="19">
        <v>0.81399999999999995</v>
      </c>
      <c r="AF99" s="19">
        <v>0.186</v>
      </c>
      <c r="AG99" s="19">
        <v>0</v>
      </c>
      <c r="AH99" s="19">
        <v>0</v>
      </c>
      <c r="AI99" s="19">
        <v>0</v>
      </c>
      <c r="AJ99" s="19">
        <v>0</v>
      </c>
      <c r="AK99" s="18" t="s">
        <v>342</v>
      </c>
      <c r="BF99" t="s">
        <v>99</v>
      </c>
      <c r="BH99" t="s">
        <v>100</v>
      </c>
      <c r="BI99" t="s">
        <v>101</v>
      </c>
    </row>
    <row r="100" spans="1:62" ht="30" customHeight="1" x14ac:dyDescent="0.2">
      <c r="A100" s="13" t="s">
        <v>753</v>
      </c>
      <c r="B100" s="14" t="s">
        <v>754</v>
      </c>
      <c r="C100" s="15" t="s">
        <v>187</v>
      </c>
      <c r="D100" s="14" t="s">
        <v>755</v>
      </c>
      <c r="E100" s="14" t="s">
        <v>737</v>
      </c>
      <c r="F100" s="14" t="s">
        <v>590</v>
      </c>
      <c r="G100" s="14" t="s">
        <v>131</v>
      </c>
      <c r="H100" s="14" t="s">
        <v>91</v>
      </c>
      <c r="I100" s="14"/>
      <c r="J100" s="14" t="s">
        <v>132</v>
      </c>
      <c r="K100" s="14" t="s">
        <v>590</v>
      </c>
      <c r="L100" s="14"/>
      <c r="M100" s="16" t="s">
        <v>756</v>
      </c>
      <c r="N100" s="14" t="s">
        <v>111</v>
      </c>
      <c r="O100" s="14" t="s">
        <v>457</v>
      </c>
      <c r="P100" s="14"/>
      <c r="Q100" s="14"/>
      <c r="R100" s="14"/>
      <c r="S100" s="14">
        <v>5</v>
      </c>
      <c r="T100" s="14"/>
      <c r="U100" s="14"/>
      <c r="V100" s="14" t="s">
        <v>97</v>
      </c>
      <c r="W100" s="17">
        <v>0.9</v>
      </c>
      <c r="X100" s="17">
        <v>0.77</v>
      </c>
      <c r="Y100" s="17">
        <v>0.4</v>
      </c>
      <c r="Z100" s="17">
        <v>1</v>
      </c>
      <c r="AA100" s="18" t="b">
        <f>FALSE()</f>
        <v>0</v>
      </c>
      <c r="AB100" s="18" t="s">
        <v>98</v>
      </c>
      <c r="AC100" s="19">
        <v>0</v>
      </c>
      <c r="AD100" s="19">
        <v>0</v>
      </c>
      <c r="AE100" s="19">
        <v>0.81399999999999995</v>
      </c>
      <c r="AF100" s="19">
        <v>0.186</v>
      </c>
      <c r="AG100" s="19">
        <v>0</v>
      </c>
      <c r="AH100" s="19">
        <v>0</v>
      </c>
      <c r="AI100" s="19">
        <v>0</v>
      </c>
      <c r="AJ100" s="19">
        <v>0</v>
      </c>
      <c r="AK100" s="18" t="s">
        <v>342</v>
      </c>
      <c r="BF100" t="s">
        <v>99</v>
      </c>
      <c r="BH100" t="s">
        <v>100</v>
      </c>
      <c r="BI100" t="s">
        <v>101</v>
      </c>
    </row>
    <row r="101" spans="1:62" ht="30" customHeight="1" x14ac:dyDescent="0.2">
      <c r="A101" s="20" t="s">
        <v>757</v>
      </c>
      <c r="B101" s="21" t="s">
        <v>754</v>
      </c>
      <c r="C101" s="22" t="s">
        <v>445</v>
      </c>
      <c r="D101" s="21" t="s">
        <v>758</v>
      </c>
      <c r="E101" s="21" t="s">
        <v>737</v>
      </c>
      <c r="F101" s="21" t="s">
        <v>590</v>
      </c>
      <c r="G101" s="21" t="s">
        <v>107</v>
      </c>
      <c r="H101" s="21" t="s">
        <v>91</v>
      </c>
      <c r="I101" s="21"/>
      <c r="J101" s="21" t="s">
        <v>132</v>
      </c>
      <c r="K101" s="21" t="s">
        <v>590</v>
      </c>
      <c r="L101" s="21"/>
      <c r="M101" s="23" t="s">
        <v>759</v>
      </c>
      <c r="N101" s="21" t="s">
        <v>111</v>
      </c>
      <c r="O101" s="21" t="s">
        <v>450</v>
      </c>
      <c r="P101" s="21"/>
      <c r="Q101" s="21"/>
      <c r="R101" s="21"/>
      <c r="S101" s="21">
        <v>4</v>
      </c>
      <c r="T101" s="21" t="s">
        <v>664</v>
      </c>
      <c r="U101" s="21"/>
      <c r="V101" s="14" t="s">
        <v>97</v>
      </c>
      <c r="W101" s="17">
        <v>0.9</v>
      </c>
      <c r="X101" s="17">
        <v>0.77</v>
      </c>
      <c r="Y101" s="17">
        <v>0.4</v>
      </c>
      <c r="Z101" s="17">
        <v>1</v>
      </c>
      <c r="AA101" s="18" t="b">
        <f>FALSE()</f>
        <v>0</v>
      </c>
      <c r="AB101" s="18" t="s">
        <v>98</v>
      </c>
      <c r="AC101" s="19">
        <v>0</v>
      </c>
      <c r="AD101" s="19">
        <v>0</v>
      </c>
      <c r="AE101" s="19">
        <v>0.81399999999999995</v>
      </c>
      <c r="AF101" s="19">
        <v>0.186</v>
      </c>
      <c r="AG101" s="19">
        <v>0</v>
      </c>
      <c r="AH101" s="19">
        <v>0</v>
      </c>
      <c r="AI101" s="19">
        <v>0</v>
      </c>
      <c r="AJ101" s="19">
        <v>0</v>
      </c>
      <c r="AK101" s="18" t="s">
        <v>342</v>
      </c>
      <c r="BF101" t="s">
        <v>99</v>
      </c>
      <c r="BH101" t="s">
        <v>100</v>
      </c>
      <c r="BI101" t="s">
        <v>101</v>
      </c>
    </row>
    <row r="102" spans="1:62" ht="30" customHeight="1" x14ac:dyDescent="0.2">
      <c r="A102" s="13" t="s">
        <v>760</v>
      </c>
      <c r="B102" s="14" t="s">
        <v>754</v>
      </c>
      <c r="C102" s="15" t="s">
        <v>162</v>
      </c>
      <c r="D102" s="14" t="s">
        <v>761</v>
      </c>
      <c r="E102" s="14" t="s">
        <v>737</v>
      </c>
      <c r="F102" s="14" t="s">
        <v>253</v>
      </c>
      <c r="G102" s="14" t="s">
        <v>131</v>
      </c>
      <c r="H102" s="14" t="s">
        <v>241</v>
      </c>
      <c r="I102" s="14"/>
      <c r="J102" s="14" t="s">
        <v>132</v>
      </c>
      <c r="K102" s="14" t="s">
        <v>590</v>
      </c>
      <c r="L102" s="14"/>
      <c r="M102" s="16" t="s">
        <v>762</v>
      </c>
      <c r="N102" s="14" t="s">
        <v>256</v>
      </c>
      <c r="O102" s="14" t="s">
        <v>298</v>
      </c>
      <c r="P102" s="14"/>
      <c r="Q102" s="14"/>
      <c r="R102" s="14"/>
      <c r="S102" s="14">
        <v>3</v>
      </c>
      <c r="T102" s="14"/>
      <c r="U102" s="14"/>
      <c r="V102" s="14" t="s">
        <v>97</v>
      </c>
      <c r="W102" s="17">
        <v>0.68</v>
      </c>
      <c r="X102" s="17">
        <v>0.45</v>
      </c>
      <c r="Y102" s="17">
        <v>0.1</v>
      </c>
      <c r="Z102" s="17">
        <v>0.8</v>
      </c>
      <c r="AA102" s="18" t="b">
        <f>FALSE()</f>
        <v>0</v>
      </c>
      <c r="AB102" s="18" t="s">
        <v>98</v>
      </c>
      <c r="AC102" s="19">
        <v>0</v>
      </c>
      <c r="AD102" s="19">
        <v>0</v>
      </c>
      <c r="AE102" s="19">
        <v>0.73</v>
      </c>
      <c r="AF102" s="19">
        <v>0.16200000000000001</v>
      </c>
      <c r="AG102" s="19">
        <v>0</v>
      </c>
      <c r="AH102" s="19">
        <v>0.108</v>
      </c>
      <c r="AI102" s="19">
        <v>0</v>
      </c>
      <c r="AJ102" s="19">
        <v>0</v>
      </c>
      <c r="AK102" s="18" t="s">
        <v>342</v>
      </c>
      <c r="BF102" t="s">
        <v>99</v>
      </c>
      <c r="BH102" t="s">
        <v>100</v>
      </c>
      <c r="BI102" t="s">
        <v>101</v>
      </c>
    </row>
    <row r="103" spans="1:62" ht="30" customHeight="1" x14ac:dyDescent="0.2">
      <c r="A103" s="20" t="s">
        <v>970</v>
      </c>
      <c r="B103" s="21" t="s">
        <v>944</v>
      </c>
      <c r="C103" s="27">
        <v>2009</v>
      </c>
      <c r="D103" s="21" t="s">
        <v>971</v>
      </c>
      <c r="E103" s="21" t="s">
        <v>788</v>
      </c>
      <c r="F103" s="21" t="s">
        <v>952</v>
      </c>
      <c r="G103" s="21" t="s">
        <v>293</v>
      </c>
      <c r="H103" s="21" t="s">
        <v>91</v>
      </c>
      <c r="I103" s="21"/>
      <c r="J103" s="21" t="s">
        <v>718</v>
      </c>
      <c r="K103" s="21" t="s">
        <v>295</v>
      </c>
      <c r="L103" s="21"/>
      <c r="M103" s="23" t="s">
        <v>972</v>
      </c>
      <c r="N103" s="21" t="s">
        <v>297</v>
      </c>
      <c r="O103" s="21" t="s">
        <v>271</v>
      </c>
      <c r="P103" s="21" t="s">
        <v>973</v>
      </c>
      <c r="Q103" s="21" t="s">
        <v>868</v>
      </c>
      <c r="R103" s="21" t="s">
        <v>722</v>
      </c>
      <c r="S103" s="21">
        <v>2</v>
      </c>
      <c r="T103" s="21" t="s">
        <v>974</v>
      </c>
      <c r="U103" s="21"/>
      <c r="V103" s="21" t="s">
        <v>97</v>
      </c>
      <c r="W103" s="17">
        <v>0.3</v>
      </c>
      <c r="X103" s="17">
        <v>0.25</v>
      </c>
      <c r="Y103" s="17">
        <v>0.43</v>
      </c>
      <c r="Z103" s="17">
        <v>0</v>
      </c>
      <c r="AA103" s="18" t="b">
        <f>TRUE()</f>
        <v>1</v>
      </c>
      <c r="AB103" s="18" t="s">
        <v>246</v>
      </c>
      <c r="AC103" s="19">
        <v>0.184</v>
      </c>
      <c r="AD103" s="19">
        <v>0</v>
      </c>
      <c r="AE103" s="19">
        <v>0</v>
      </c>
      <c r="AF103" s="19">
        <v>0</v>
      </c>
      <c r="AG103" s="19">
        <v>0</v>
      </c>
      <c r="AH103" s="19">
        <v>0</v>
      </c>
      <c r="AI103" s="19">
        <v>0.81599999999999995</v>
      </c>
      <c r="AJ103" s="19">
        <v>0</v>
      </c>
      <c r="AK103" s="18" t="s">
        <v>299</v>
      </c>
      <c r="AL103">
        <v>0.17</v>
      </c>
      <c r="AM103">
        <v>0</v>
      </c>
      <c r="AN103">
        <v>0.33</v>
      </c>
      <c r="AO103">
        <v>0.83</v>
      </c>
      <c r="AP103">
        <v>0.83</v>
      </c>
      <c r="AQ103">
        <v>0.33</v>
      </c>
      <c r="AR103">
        <v>0</v>
      </c>
      <c r="BF103" t="s">
        <v>247</v>
      </c>
      <c r="BG103" t="s">
        <v>265</v>
      </c>
      <c r="BH103" t="s">
        <v>249</v>
      </c>
      <c r="BI103" t="s">
        <v>975</v>
      </c>
      <c r="BJ103">
        <v>0</v>
      </c>
    </row>
    <row r="104" spans="1:62" ht="30" customHeight="1" x14ac:dyDescent="0.2">
      <c r="A104" s="13" t="s">
        <v>769</v>
      </c>
      <c r="B104" s="14" t="s">
        <v>770</v>
      </c>
      <c r="C104" s="15" t="s">
        <v>117</v>
      </c>
      <c r="D104" s="14" t="s">
        <v>771</v>
      </c>
      <c r="E104" s="14" t="s">
        <v>737</v>
      </c>
      <c r="F104" s="14" t="s">
        <v>119</v>
      </c>
      <c r="G104" s="14" t="s">
        <v>131</v>
      </c>
      <c r="H104" s="14" t="s">
        <v>516</v>
      </c>
      <c r="I104" s="14"/>
      <c r="J104" s="14" t="s">
        <v>132</v>
      </c>
      <c r="K104" s="14" t="s">
        <v>590</v>
      </c>
      <c r="L104" s="14"/>
      <c r="M104" s="16" t="s">
        <v>772</v>
      </c>
      <c r="N104" s="14" t="s">
        <v>111</v>
      </c>
      <c r="O104" s="14" t="s">
        <v>773</v>
      </c>
      <c r="P104" s="14"/>
      <c r="Q104" s="14"/>
      <c r="R104" s="14"/>
      <c r="S104" s="14">
        <v>3</v>
      </c>
      <c r="T104" s="14"/>
      <c r="U104" s="14"/>
      <c r="V104" s="14" t="s">
        <v>97</v>
      </c>
      <c r="W104" s="17">
        <v>0.84</v>
      </c>
      <c r="X104" s="17">
        <v>0.75</v>
      </c>
      <c r="Y104" s="17">
        <v>0.32</v>
      </c>
      <c r="Z104" s="17">
        <v>0.9</v>
      </c>
      <c r="AA104" s="18" t="b">
        <f>FALSE()</f>
        <v>0</v>
      </c>
      <c r="AB104" s="18" t="s">
        <v>98</v>
      </c>
      <c r="AC104" s="19">
        <v>4.7E-2</v>
      </c>
      <c r="AD104" s="19">
        <v>4.7E-2</v>
      </c>
      <c r="AE104" s="19">
        <v>0.53500000000000003</v>
      </c>
      <c r="AF104" s="19">
        <v>0.186</v>
      </c>
      <c r="AG104" s="19">
        <v>4.7E-2</v>
      </c>
      <c r="AH104" s="19">
        <v>4.7E-2</v>
      </c>
      <c r="AI104" s="19">
        <v>4.7E-2</v>
      </c>
      <c r="AJ104" s="19">
        <v>4.7E-2</v>
      </c>
      <c r="AK104" s="18" t="s">
        <v>342</v>
      </c>
      <c r="BF104" t="s">
        <v>99</v>
      </c>
      <c r="BH104" t="s">
        <v>100</v>
      </c>
      <c r="BI104" t="s">
        <v>101</v>
      </c>
    </row>
    <row r="105" spans="1:62" ht="30" customHeight="1" x14ac:dyDescent="0.2">
      <c r="A105" s="20" t="s">
        <v>774</v>
      </c>
      <c r="B105" s="21" t="s">
        <v>775</v>
      </c>
      <c r="C105" s="22" t="s">
        <v>148</v>
      </c>
      <c r="D105" s="21" t="s">
        <v>776</v>
      </c>
      <c r="E105" s="21" t="s">
        <v>737</v>
      </c>
      <c r="F105" s="21" t="s">
        <v>119</v>
      </c>
      <c r="G105" s="21" t="s">
        <v>131</v>
      </c>
      <c r="H105" s="21" t="s">
        <v>516</v>
      </c>
      <c r="I105" s="21"/>
      <c r="J105" s="21" t="s">
        <v>132</v>
      </c>
      <c r="K105" s="21" t="s">
        <v>567</v>
      </c>
      <c r="L105" s="21"/>
      <c r="M105" s="23" t="s">
        <v>777</v>
      </c>
      <c r="N105" s="21" t="s">
        <v>111</v>
      </c>
      <c r="O105" s="21" t="s">
        <v>778</v>
      </c>
      <c r="P105" s="21"/>
      <c r="Q105" s="21"/>
      <c r="R105" s="21"/>
      <c r="S105" s="21">
        <v>3</v>
      </c>
      <c r="T105" s="21"/>
      <c r="U105" s="21"/>
      <c r="V105" s="14" t="s">
        <v>97</v>
      </c>
      <c r="W105" s="17">
        <v>0.76</v>
      </c>
      <c r="X105" s="17">
        <v>0.7</v>
      </c>
      <c r="Y105" s="17">
        <v>0.32</v>
      </c>
      <c r="Z105" s="17">
        <v>0.8</v>
      </c>
      <c r="AA105" s="18" t="b">
        <f>FALSE()</f>
        <v>0</v>
      </c>
      <c r="AB105" s="18" t="s">
        <v>98</v>
      </c>
      <c r="AC105" s="19">
        <v>5.8999999999999997E-2</v>
      </c>
      <c r="AD105" s="19">
        <v>5.8999999999999997E-2</v>
      </c>
      <c r="AE105" s="19">
        <v>0.23499999999999999</v>
      </c>
      <c r="AF105" s="19">
        <v>5.8999999999999997E-2</v>
      </c>
      <c r="AG105" s="19">
        <v>0.14699999999999999</v>
      </c>
      <c r="AH105" s="19">
        <v>0.23499999999999999</v>
      </c>
      <c r="AI105" s="19">
        <v>0.14699999999999999</v>
      </c>
      <c r="AJ105" s="19">
        <v>5.8999999999999997E-2</v>
      </c>
      <c r="AK105" s="18" t="s">
        <v>342</v>
      </c>
      <c r="BF105" t="s">
        <v>99</v>
      </c>
      <c r="BH105" t="s">
        <v>100</v>
      </c>
      <c r="BI105" t="s">
        <v>101</v>
      </c>
    </row>
    <row r="106" spans="1:62" ht="30" customHeight="1" x14ac:dyDescent="0.2">
      <c r="A106" s="13" t="s">
        <v>779</v>
      </c>
      <c r="B106" s="14" t="s">
        <v>780</v>
      </c>
      <c r="C106" s="15" t="s">
        <v>781</v>
      </c>
      <c r="D106" s="14" t="s">
        <v>782</v>
      </c>
      <c r="E106" s="14" t="s">
        <v>737</v>
      </c>
      <c r="F106" s="14" t="s">
        <v>644</v>
      </c>
      <c r="G106" s="14" t="s">
        <v>107</v>
      </c>
      <c r="H106" s="14" t="s">
        <v>91</v>
      </c>
      <c r="I106" s="14"/>
      <c r="J106" s="14" t="s">
        <v>132</v>
      </c>
      <c r="K106" s="14" t="s">
        <v>693</v>
      </c>
      <c r="L106" s="14"/>
      <c r="M106" s="16" t="s">
        <v>783</v>
      </c>
      <c r="N106" s="14" t="s">
        <v>199</v>
      </c>
      <c r="O106" s="14" t="s">
        <v>784</v>
      </c>
      <c r="P106" s="14"/>
      <c r="Q106" s="14"/>
      <c r="R106" s="14"/>
      <c r="S106" s="14">
        <v>2</v>
      </c>
      <c r="T106" s="14"/>
      <c r="U106" s="14"/>
      <c r="V106" s="14" t="s">
        <v>97</v>
      </c>
      <c r="W106" s="17">
        <v>0.45</v>
      </c>
      <c r="X106" s="17">
        <v>0.3</v>
      </c>
      <c r="Y106" s="17">
        <v>0.65</v>
      </c>
      <c r="Z106" s="17">
        <v>0.75</v>
      </c>
      <c r="AA106" s="18" t="b">
        <f>FALSE()</f>
        <v>0</v>
      </c>
      <c r="AB106" s="18" t="s">
        <v>98</v>
      </c>
      <c r="AC106" s="19">
        <v>0</v>
      </c>
      <c r="AD106" s="19">
        <v>0</v>
      </c>
      <c r="AE106" s="19">
        <v>0</v>
      </c>
      <c r="AF106" s="19">
        <v>0.378</v>
      </c>
      <c r="AG106" s="19">
        <v>0.33300000000000002</v>
      </c>
      <c r="AH106" s="19">
        <v>0</v>
      </c>
      <c r="AI106" s="19">
        <v>0</v>
      </c>
      <c r="AJ106" s="19">
        <v>0.28899999999999998</v>
      </c>
      <c r="AK106" s="18" t="s">
        <v>442</v>
      </c>
      <c r="BF106" t="s">
        <v>99</v>
      </c>
      <c r="BH106" t="s">
        <v>100</v>
      </c>
      <c r="BI106" t="s">
        <v>101</v>
      </c>
    </row>
    <row r="107" spans="1:62" ht="30" customHeight="1" x14ac:dyDescent="0.2">
      <c r="A107" s="13" t="s">
        <v>785</v>
      </c>
      <c r="B107" s="14" t="s">
        <v>786</v>
      </c>
      <c r="C107" s="25">
        <v>1953</v>
      </c>
      <c r="D107" s="14" t="s">
        <v>787</v>
      </c>
      <c r="E107" s="14" t="s">
        <v>788</v>
      </c>
      <c r="F107" s="14" t="s">
        <v>789</v>
      </c>
      <c r="G107" s="14" t="s">
        <v>329</v>
      </c>
      <c r="H107" s="14" t="s">
        <v>108</v>
      </c>
      <c r="I107" s="14"/>
      <c r="J107" s="14" t="s">
        <v>790</v>
      </c>
      <c r="K107" s="14" t="s">
        <v>295</v>
      </c>
      <c r="L107" s="14"/>
      <c r="M107" s="23" t="s">
        <v>791</v>
      </c>
      <c r="N107" s="14" t="s">
        <v>297</v>
      </c>
      <c r="O107" s="25"/>
      <c r="P107" s="25"/>
      <c r="Q107" s="14" t="s">
        <v>159</v>
      </c>
      <c r="R107" s="14"/>
      <c r="S107" s="14">
        <v>3</v>
      </c>
      <c r="T107" s="25" t="s">
        <v>792</v>
      </c>
      <c r="U107" s="25"/>
      <c r="V107" s="25" t="s">
        <v>1243</v>
      </c>
      <c r="W107" s="17">
        <v>0.2</v>
      </c>
      <c r="X107" s="17">
        <v>0.15</v>
      </c>
      <c r="Y107" s="17">
        <v>0.65</v>
      </c>
      <c r="Z107" s="17">
        <v>0.05</v>
      </c>
      <c r="AA107" s="18" t="b">
        <f>FALSE()</f>
        <v>0</v>
      </c>
      <c r="AB107" s="18" t="s">
        <v>98</v>
      </c>
      <c r="AC107" s="19">
        <v>0.214</v>
      </c>
      <c r="AD107" s="19">
        <v>0</v>
      </c>
      <c r="AE107" s="19">
        <v>0</v>
      </c>
      <c r="AF107" s="19">
        <v>9.5000000000000001E-2</v>
      </c>
      <c r="AG107" s="19">
        <v>0</v>
      </c>
      <c r="AH107" s="19">
        <v>0</v>
      </c>
      <c r="AI107" s="19">
        <v>0.64300000000000002</v>
      </c>
      <c r="AJ107" s="19">
        <v>4.8000000000000001E-2</v>
      </c>
      <c r="AK107" s="18" t="s">
        <v>299</v>
      </c>
      <c r="AL107">
        <v>0</v>
      </c>
      <c r="AM107">
        <v>0</v>
      </c>
      <c r="AN107">
        <v>0.33</v>
      </c>
      <c r="AO107">
        <v>0</v>
      </c>
      <c r="AP107">
        <v>0.5</v>
      </c>
      <c r="AQ107">
        <v>0</v>
      </c>
      <c r="AR107">
        <v>0</v>
      </c>
      <c r="BF107" t="s">
        <v>247</v>
      </c>
      <c r="BG107" t="s">
        <v>248</v>
      </c>
      <c r="BH107" t="s">
        <v>249</v>
      </c>
      <c r="BI107" t="s">
        <v>793</v>
      </c>
      <c r="BJ107">
        <v>0</v>
      </c>
    </row>
    <row r="108" spans="1:62" ht="30" customHeight="1" x14ac:dyDescent="0.2">
      <c r="A108" s="20" t="s">
        <v>794</v>
      </c>
      <c r="B108" s="21" t="s">
        <v>795</v>
      </c>
      <c r="C108" s="27">
        <v>1953</v>
      </c>
      <c r="D108" s="21" t="s">
        <v>796</v>
      </c>
      <c r="E108" s="21" t="s">
        <v>788</v>
      </c>
      <c r="F108" s="21" t="s">
        <v>292</v>
      </c>
      <c r="G108" s="21" t="s">
        <v>329</v>
      </c>
      <c r="H108" s="21" t="s">
        <v>91</v>
      </c>
      <c r="I108" s="21"/>
      <c r="J108" s="21" t="s">
        <v>718</v>
      </c>
      <c r="K108" s="21" t="s">
        <v>295</v>
      </c>
      <c r="L108" s="21"/>
      <c r="M108" s="23" t="s">
        <v>797</v>
      </c>
      <c r="N108" s="21" t="s">
        <v>297</v>
      </c>
      <c r="O108" s="21" t="s">
        <v>798</v>
      </c>
      <c r="P108" s="21"/>
      <c r="Q108" s="21"/>
      <c r="R108" s="21"/>
      <c r="S108" s="21">
        <v>3</v>
      </c>
      <c r="T108" s="21" t="s">
        <v>799</v>
      </c>
      <c r="U108" s="21"/>
      <c r="V108" s="14" t="s">
        <v>97</v>
      </c>
      <c r="W108" s="17">
        <v>0.15</v>
      </c>
      <c r="X108" s="17">
        <v>0.12</v>
      </c>
      <c r="Y108" s="17">
        <v>0.22</v>
      </c>
      <c r="Z108" s="17">
        <v>0.05</v>
      </c>
      <c r="AA108" s="18" t="b">
        <f>FALSE()</f>
        <v>0</v>
      </c>
      <c r="AB108" s="18" t="s">
        <v>98</v>
      </c>
      <c r="AC108" s="19">
        <v>0.25</v>
      </c>
      <c r="AD108" s="19">
        <v>0</v>
      </c>
      <c r="AE108" s="19">
        <v>0</v>
      </c>
      <c r="AF108" s="19">
        <v>0</v>
      </c>
      <c r="AG108" s="19">
        <v>0</v>
      </c>
      <c r="AH108" s="19">
        <v>0</v>
      </c>
      <c r="AI108" s="19">
        <v>0.75</v>
      </c>
      <c r="AJ108" s="19">
        <v>0</v>
      </c>
      <c r="AK108" s="18" t="s">
        <v>299</v>
      </c>
      <c r="AL108">
        <v>0</v>
      </c>
      <c r="AM108">
        <v>0</v>
      </c>
      <c r="AN108">
        <v>0.33</v>
      </c>
      <c r="AO108">
        <v>0</v>
      </c>
      <c r="AP108">
        <v>0.5</v>
      </c>
      <c r="AQ108">
        <v>0</v>
      </c>
      <c r="AR108">
        <v>0</v>
      </c>
      <c r="BF108" t="s">
        <v>247</v>
      </c>
      <c r="BG108" t="s">
        <v>248</v>
      </c>
      <c r="BH108" t="s">
        <v>249</v>
      </c>
      <c r="BI108" t="s">
        <v>800</v>
      </c>
      <c r="BJ108">
        <v>0</v>
      </c>
    </row>
    <row r="109" spans="1:62" ht="30" customHeight="1" x14ac:dyDescent="0.2">
      <c r="A109" s="13" t="s">
        <v>801</v>
      </c>
      <c r="B109" s="14" t="s">
        <v>802</v>
      </c>
      <c r="C109" s="24">
        <v>1963</v>
      </c>
      <c r="D109" s="14" t="s">
        <v>803</v>
      </c>
      <c r="E109" s="14" t="s">
        <v>788</v>
      </c>
      <c r="F109" s="14" t="s">
        <v>789</v>
      </c>
      <c r="G109" s="14" t="s">
        <v>329</v>
      </c>
      <c r="H109" s="14" t="s">
        <v>91</v>
      </c>
      <c r="I109" s="14"/>
      <c r="J109" s="14" t="s">
        <v>359</v>
      </c>
      <c r="K109" s="28" t="s">
        <v>295</v>
      </c>
      <c r="L109" s="28" t="s">
        <v>804</v>
      </c>
      <c r="M109" s="16" t="s">
        <v>805</v>
      </c>
      <c r="N109" s="14" t="s">
        <v>297</v>
      </c>
      <c r="O109" s="14" t="s">
        <v>806</v>
      </c>
      <c r="P109" s="14"/>
      <c r="Q109" s="14"/>
      <c r="R109" s="14"/>
      <c r="S109" s="14">
        <v>3</v>
      </c>
      <c r="T109" s="14" t="s">
        <v>807</v>
      </c>
      <c r="U109" s="14"/>
      <c r="V109" s="14" t="s">
        <v>97</v>
      </c>
      <c r="W109" s="17">
        <v>0.2</v>
      </c>
      <c r="X109" s="17">
        <v>0.15</v>
      </c>
      <c r="Y109" s="17">
        <v>0.65</v>
      </c>
      <c r="Z109" s="17">
        <v>0.05</v>
      </c>
      <c r="AA109" s="18" t="b">
        <f>FALSE()</f>
        <v>0</v>
      </c>
      <c r="AB109" s="18" t="s">
        <v>98</v>
      </c>
      <c r="AC109" s="19">
        <v>0.214</v>
      </c>
      <c r="AD109" s="19">
        <v>0</v>
      </c>
      <c r="AE109" s="19">
        <v>0</v>
      </c>
      <c r="AF109" s="19">
        <v>9.5000000000000001E-2</v>
      </c>
      <c r="AG109" s="19">
        <v>0</v>
      </c>
      <c r="AH109" s="19">
        <v>0</v>
      </c>
      <c r="AI109" s="19">
        <v>0.64300000000000002</v>
      </c>
      <c r="AJ109" s="19">
        <v>4.8000000000000001E-2</v>
      </c>
      <c r="AK109" s="18" t="s">
        <v>299</v>
      </c>
      <c r="AL109">
        <v>0</v>
      </c>
      <c r="AM109">
        <v>0</v>
      </c>
      <c r="AN109">
        <v>0.33</v>
      </c>
      <c r="AO109">
        <v>0.17</v>
      </c>
      <c r="AP109">
        <v>0.5</v>
      </c>
      <c r="AQ109">
        <v>0.17</v>
      </c>
      <c r="AR109">
        <v>0.56999999999999995</v>
      </c>
      <c r="BF109" t="s">
        <v>247</v>
      </c>
      <c r="BG109" t="s">
        <v>265</v>
      </c>
      <c r="BH109" t="s">
        <v>249</v>
      </c>
      <c r="BI109" t="s">
        <v>808</v>
      </c>
      <c r="BJ109">
        <v>0</v>
      </c>
    </row>
    <row r="110" spans="1:62" ht="30" customHeight="1" x14ac:dyDescent="0.2">
      <c r="A110" s="13" t="s">
        <v>809</v>
      </c>
      <c r="B110" s="14" t="s">
        <v>810</v>
      </c>
      <c r="C110" s="25">
        <v>1964</v>
      </c>
      <c r="D110" s="14" t="s">
        <v>811</v>
      </c>
      <c r="E110" s="14" t="s">
        <v>788</v>
      </c>
      <c r="F110" s="14" t="s">
        <v>789</v>
      </c>
      <c r="G110" s="14" t="s">
        <v>329</v>
      </c>
      <c r="H110" s="14" t="s">
        <v>108</v>
      </c>
      <c r="I110" s="14"/>
      <c r="J110" s="14" t="s">
        <v>462</v>
      </c>
      <c r="K110" s="14" t="s">
        <v>295</v>
      </c>
      <c r="L110" s="14"/>
      <c r="M110" s="25"/>
      <c r="N110" s="14" t="s">
        <v>297</v>
      </c>
      <c r="O110" s="25"/>
      <c r="P110" s="25"/>
      <c r="Q110" s="14" t="s">
        <v>159</v>
      </c>
      <c r="R110" s="14"/>
      <c r="S110" s="14">
        <v>3</v>
      </c>
      <c r="T110" s="25"/>
      <c r="U110" s="25"/>
      <c r="V110" s="25" t="s">
        <v>1243</v>
      </c>
      <c r="W110" s="17">
        <v>0.2</v>
      </c>
      <c r="X110" s="17">
        <v>0.15</v>
      </c>
      <c r="Y110" s="17">
        <v>0.65</v>
      </c>
      <c r="Z110" s="17">
        <v>0.05</v>
      </c>
      <c r="AA110" s="18" t="b">
        <f>FALSE()</f>
        <v>0</v>
      </c>
      <c r="AB110" s="18" t="s">
        <v>98</v>
      </c>
      <c r="AC110" s="19">
        <v>0.214</v>
      </c>
      <c r="AD110" s="19">
        <v>0</v>
      </c>
      <c r="AE110" s="19">
        <v>0</v>
      </c>
      <c r="AF110" s="19">
        <v>9.5000000000000001E-2</v>
      </c>
      <c r="AG110" s="19">
        <v>0</v>
      </c>
      <c r="AH110" s="19">
        <v>0</v>
      </c>
      <c r="AI110" s="19">
        <v>0.64300000000000002</v>
      </c>
      <c r="AJ110" s="19">
        <v>4.8000000000000001E-2</v>
      </c>
      <c r="AK110" s="18" t="s">
        <v>299</v>
      </c>
      <c r="AL110">
        <v>0</v>
      </c>
      <c r="AM110">
        <v>0</v>
      </c>
      <c r="AN110">
        <v>0.33</v>
      </c>
      <c r="AO110">
        <v>0.17</v>
      </c>
      <c r="AP110">
        <v>0.5</v>
      </c>
      <c r="AQ110">
        <v>0</v>
      </c>
      <c r="AR110">
        <v>0</v>
      </c>
      <c r="BF110" t="s">
        <v>247</v>
      </c>
      <c r="BG110" t="s">
        <v>248</v>
      </c>
      <c r="BH110" t="s">
        <v>249</v>
      </c>
      <c r="BI110" t="s">
        <v>812</v>
      </c>
      <c r="BJ110">
        <v>0</v>
      </c>
    </row>
    <row r="111" spans="1:62" ht="30" customHeight="1" x14ac:dyDescent="0.2">
      <c r="A111" s="13" t="s">
        <v>813</v>
      </c>
      <c r="B111" s="14" t="s">
        <v>814</v>
      </c>
      <c r="C111" s="25">
        <v>1969</v>
      </c>
      <c r="D111" s="14" t="s">
        <v>815</v>
      </c>
      <c r="E111" s="14" t="s">
        <v>788</v>
      </c>
      <c r="F111" s="14" t="s">
        <v>789</v>
      </c>
      <c r="G111" s="14" t="s">
        <v>329</v>
      </c>
      <c r="H111" s="14" t="s">
        <v>108</v>
      </c>
      <c r="I111" s="14"/>
      <c r="J111" s="14" t="s">
        <v>462</v>
      </c>
      <c r="K111" s="14" t="s">
        <v>295</v>
      </c>
      <c r="L111" s="14"/>
      <c r="M111" s="25"/>
      <c r="N111" s="14" t="s">
        <v>297</v>
      </c>
      <c r="O111" s="25"/>
      <c r="P111" s="25"/>
      <c r="Q111" s="14" t="s">
        <v>2122</v>
      </c>
      <c r="R111" s="14"/>
      <c r="S111" s="14">
        <v>3</v>
      </c>
      <c r="T111" s="25" t="s">
        <v>2123</v>
      </c>
      <c r="U111" s="25"/>
      <c r="V111" s="25" t="s">
        <v>1243</v>
      </c>
      <c r="W111" s="17">
        <v>0.2</v>
      </c>
      <c r="X111" s="17">
        <v>0.15</v>
      </c>
      <c r="Y111" s="17">
        <v>0.65</v>
      </c>
      <c r="Z111" s="17">
        <v>0.05</v>
      </c>
      <c r="AA111" s="18" t="b">
        <f>FALSE()</f>
        <v>0</v>
      </c>
      <c r="AB111" s="18" t="s">
        <v>98</v>
      </c>
      <c r="AC111" s="19">
        <v>0.214</v>
      </c>
      <c r="AD111" s="19">
        <v>0</v>
      </c>
      <c r="AE111" s="19">
        <v>0</v>
      </c>
      <c r="AF111" s="19">
        <v>9.5000000000000001E-2</v>
      </c>
      <c r="AG111" s="19">
        <v>0</v>
      </c>
      <c r="AH111" s="19">
        <v>0</v>
      </c>
      <c r="AI111" s="19">
        <v>0.64300000000000002</v>
      </c>
      <c r="AJ111" s="19">
        <v>4.8000000000000001E-2</v>
      </c>
      <c r="AK111" s="18" t="s">
        <v>299</v>
      </c>
      <c r="AL111">
        <v>0</v>
      </c>
      <c r="AM111">
        <v>0</v>
      </c>
      <c r="AN111">
        <v>0.33</v>
      </c>
      <c r="AO111">
        <v>0.17</v>
      </c>
      <c r="AP111">
        <v>0.5</v>
      </c>
      <c r="AQ111">
        <v>0.17</v>
      </c>
      <c r="AR111">
        <v>0</v>
      </c>
      <c r="BF111" t="s">
        <v>247</v>
      </c>
      <c r="BG111" t="s">
        <v>248</v>
      </c>
      <c r="BH111" t="s">
        <v>249</v>
      </c>
      <c r="BI111" t="s">
        <v>816</v>
      </c>
      <c r="BJ111">
        <v>0</v>
      </c>
    </row>
    <row r="112" spans="1:62" ht="30" customHeight="1" x14ac:dyDescent="0.2">
      <c r="A112" s="20" t="s">
        <v>817</v>
      </c>
      <c r="B112" s="21" t="s">
        <v>818</v>
      </c>
      <c r="C112" s="25">
        <v>1978</v>
      </c>
      <c r="D112" s="21" t="s">
        <v>819</v>
      </c>
      <c r="E112" s="21" t="s">
        <v>788</v>
      </c>
      <c r="F112" s="21" t="s">
        <v>789</v>
      </c>
      <c r="G112" s="21" t="s">
        <v>131</v>
      </c>
      <c r="H112" s="25"/>
      <c r="I112" s="25"/>
      <c r="J112" s="21" t="s">
        <v>132</v>
      </c>
      <c r="K112" s="25"/>
      <c r="L112" s="25"/>
      <c r="M112" s="23" t="s">
        <v>820</v>
      </c>
      <c r="N112" s="21" t="s">
        <v>297</v>
      </c>
      <c r="O112" s="21" t="s">
        <v>821</v>
      </c>
      <c r="P112" s="25"/>
      <c r="Q112" s="25" t="s">
        <v>822</v>
      </c>
      <c r="R112" s="25"/>
      <c r="S112" s="21">
        <v>3</v>
      </c>
      <c r="T112" s="21" t="s">
        <v>823</v>
      </c>
      <c r="U112" s="21"/>
      <c r="V112" s="21" t="s">
        <v>824</v>
      </c>
      <c r="W112" s="17">
        <v>0.2</v>
      </c>
      <c r="X112" s="17">
        <v>0.15</v>
      </c>
      <c r="Y112" s="17">
        <v>0.65</v>
      </c>
      <c r="Z112" s="17">
        <v>0.2</v>
      </c>
      <c r="AA112" s="18" t="b">
        <f>FALSE()</f>
        <v>0</v>
      </c>
      <c r="AB112" s="18" t="s">
        <v>98</v>
      </c>
      <c r="AC112" s="19">
        <v>0.214</v>
      </c>
      <c r="AD112" s="19">
        <v>7.0999999999999994E-2</v>
      </c>
      <c r="AE112" s="19">
        <v>7.0999999999999994E-2</v>
      </c>
      <c r="AF112" s="19">
        <v>0.16700000000000001</v>
      </c>
      <c r="AG112" s="19">
        <v>7.0999999999999994E-2</v>
      </c>
      <c r="AH112" s="19">
        <v>7.0999999999999994E-2</v>
      </c>
      <c r="AI112" s="19">
        <v>0.214</v>
      </c>
      <c r="AJ112" s="19">
        <v>0.11899999999999999</v>
      </c>
      <c r="AK112" s="18" t="s">
        <v>333</v>
      </c>
      <c r="BF112" t="s">
        <v>99</v>
      </c>
      <c r="BH112" t="s">
        <v>100</v>
      </c>
      <c r="BI112" t="s">
        <v>101</v>
      </c>
    </row>
    <row r="113" spans="1:62" ht="30" customHeight="1" x14ac:dyDescent="0.2">
      <c r="A113" s="20" t="s">
        <v>825</v>
      </c>
      <c r="B113" s="21" t="s">
        <v>826</v>
      </c>
      <c r="C113" s="27">
        <v>1982</v>
      </c>
      <c r="D113" s="21" t="s">
        <v>827</v>
      </c>
      <c r="E113" s="21" t="s">
        <v>788</v>
      </c>
      <c r="F113" s="21" t="s">
        <v>828</v>
      </c>
      <c r="G113" s="21" t="s">
        <v>107</v>
      </c>
      <c r="H113" s="21" t="s">
        <v>91</v>
      </c>
      <c r="I113" s="21"/>
      <c r="J113" s="21" t="s">
        <v>132</v>
      </c>
      <c r="K113" s="21" t="s">
        <v>295</v>
      </c>
      <c r="L113" s="21"/>
      <c r="M113" s="23" t="s">
        <v>829</v>
      </c>
      <c r="N113" s="21" t="s">
        <v>297</v>
      </c>
      <c r="O113" s="21" t="s">
        <v>830</v>
      </c>
      <c r="P113" s="21"/>
      <c r="Q113" s="21"/>
      <c r="R113" s="21"/>
      <c r="S113" s="21">
        <v>2</v>
      </c>
      <c r="T113" s="21" t="s">
        <v>831</v>
      </c>
      <c r="U113" s="21"/>
      <c r="V113" s="14" t="s">
        <v>97</v>
      </c>
      <c r="W113" s="17">
        <v>0.4</v>
      </c>
      <c r="X113" s="17">
        <v>0.3</v>
      </c>
      <c r="Y113" s="17">
        <v>0.42</v>
      </c>
      <c r="Z113" s="17">
        <v>0.05</v>
      </c>
      <c r="AA113" s="18" t="b">
        <f>FALSE()</f>
        <v>0</v>
      </c>
      <c r="AB113" s="18" t="s">
        <v>98</v>
      </c>
      <c r="AC113" s="19">
        <v>7.9000000000000001E-2</v>
      </c>
      <c r="AD113" s="19">
        <v>0</v>
      </c>
      <c r="AE113" s="19">
        <v>0</v>
      </c>
      <c r="AF113" s="19">
        <v>0</v>
      </c>
      <c r="AG113" s="19">
        <v>0</v>
      </c>
      <c r="AH113" s="19">
        <v>0</v>
      </c>
      <c r="AI113" s="19">
        <v>0.92100000000000004</v>
      </c>
      <c r="AJ113" s="19">
        <v>0</v>
      </c>
      <c r="AK113" s="18" t="s">
        <v>299</v>
      </c>
      <c r="BF113" t="s">
        <v>99</v>
      </c>
      <c r="BH113" t="s">
        <v>100</v>
      </c>
      <c r="BI113" t="s">
        <v>101</v>
      </c>
    </row>
    <row r="114" spans="1:62" ht="30" customHeight="1" x14ac:dyDescent="0.2">
      <c r="A114" s="25" t="s">
        <v>713</v>
      </c>
      <c r="B114" s="21" t="s">
        <v>714</v>
      </c>
      <c r="C114" s="22">
        <v>1939</v>
      </c>
      <c r="D114" s="21" t="s">
        <v>715</v>
      </c>
      <c r="E114" s="21" t="s">
        <v>716</v>
      </c>
      <c r="F114" s="21" t="s">
        <v>292</v>
      </c>
      <c r="G114" s="21" t="s">
        <v>329</v>
      </c>
      <c r="H114" s="21" t="s">
        <v>91</v>
      </c>
      <c r="I114" s="25" t="s">
        <v>717</v>
      </c>
      <c r="J114" s="25" t="s">
        <v>718</v>
      </c>
      <c r="K114" s="25" t="s">
        <v>295</v>
      </c>
      <c r="L114" s="26" t="s">
        <v>719</v>
      </c>
      <c r="M114" s="25" t="s">
        <v>720</v>
      </c>
      <c r="N114" s="14" t="s">
        <v>297</v>
      </c>
      <c r="O114" s="25" t="s">
        <v>721</v>
      </c>
      <c r="P114" s="25"/>
      <c r="Q114" s="25" t="s">
        <v>113</v>
      </c>
      <c r="R114" s="25" t="s">
        <v>610</v>
      </c>
      <c r="S114" s="25">
        <v>4</v>
      </c>
      <c r="T114" s="25" t="s">
        <v>723</v>
      </c>
      <c r="U114" s="26" t="s">
        <v>724</v>
      </c>
      <c r="V114" s="25" t="s">
        <v>725</v>
      </c>
      <c r="AK114" s="2" t="s">
        <v>299</v>
      </c>
      <c r="AL114">
        <v>0.12686666666666663</v>
      </c>
      <c r="AM114">
        <v>2.8799999999999999E-2</v>
      </c>
      <c r="AN114">
        <v>0.28050000000000003</v>
      </c>
      <c r="AO114">
        <v>0.25166666666666665</v>
      </c>
      <c r="AP114">
        <v>0.43225694444444446</v>
      </c>
      <c r="AQ114">
        <v>0.11966666666666667</v>
      </c>
      <c r="AR114">
        <v>6.0599999999999994E-2</v>
      </c>
      <c r="AS114" s="2" t="s">
        <v>299</v>
      </c>
      <c r="AT114" s="2" t="s">
        <v>726</v>
      </c>
      <c r="BF114" t="s">
        <v>99</v>
      </c>
      <c r="BG114" t="s">
        <v>615</v>
      </c>
      <c r="BH114" s="2" t="s">
        <v>2034</v>
      </c>
      <c r="BI114" s="2" t="s">
        <v>727</v>
      </c>
      <c r="BJ114">
        <v>0</v>
      </c>
    </row>
    <row r="115" spans="1:62" ht="30" customHeight="1" x14ac:dyDescent="0.2">
      <c r="A115" s="20" t="s">
        <v>1691</v>
      </c>
      <c r="B115" s="21" t="s">
        <v>1692</v>
      </c>
      <c r="C115" s="22">
        <v>2010</v>
      </c>
      <c r="D115" s="25" t="s">
        <v>1693</v>
      </c>
      <c r="E115" s="21" t="s">
        <v>737</v>
      </c>
      <c r="F115" s="21" t="s">
        <v>857</v>
      </c>
      <c r="G115" s="21" t="s">
        <v>131</v>
      </c>
      <c r="H115" s="21" t="s">
        <v>108</v>
      </c>
      <c r="I115" s="21"/>
      <c r="J115" s="21" t="s">
        <v>132</v>
      </c>
      <c r="K115" s="21" t="s">
        <v>859</v>
      </c>
      <c r="L115" s="21"/>
      <c r="M115" s="23" t="s">
        <v>1668</v>
      </c>
      <c r="N115" s="21" t="s">
        <v>111</v>
      </c>
      <c r="O115" s="21" t="s">
        <v>1694</v>
      </c>
      <c r="P115" s="21"/>
      <c r="Q115" s="21"/>
      <c r="R115" s="21"/>
      <c r="S115" s="21">
        <v>3</v>
      </c>
      <c r="T115" s="21" t="s">
        <v>1695</v>
      </c>
      <c r="U115" s="21" t="s">
        <v>1696</v>
      </c>
      <c r="V115" s="21" t="s">
        <v>861</v>
      </c>
      <c r="W115" s="17">
        <v>0.9</v>
      </c>
      <c r="X115" s="17">
        <v>0.77</v>
      </c>
      <c r="Y115" s="17">
        <v>0.4</v>
      </c>
      <c r="Z115" s="17">
        <v>1</v>
      </c>
      <c r="AA115" s="18" t="b">
        <f>TRUE()</f>
        <v>1</v>
      </c>
      <c r="AB115" s="18" t="s">
        <v>246</v>
      </c>
      <c r="AC115" s="19">
        <v>0</v>
      </c>
      <c r="AD115" s="19">
        <v>0</v>
      </c>
      <c r="AE115" s="19">
        <v>0.81399999999999995</v>
      </c>
      <c r="AF115" s="19">
        <v>0.186</v>
      </c>
      <c r="AG115" s="19">
        <v>0</v>
      </c>
      <c r="AH115" s="19">
        <v>0</v>
      </c>
      <c r="AI115" s="19">
        <v>0</v>
      </c>
      <c r="AJ115" s="19">
        <v>0</v>
      </c>
      <c r="AK115" s="18" t="s">
        <v>342</v>
      </c>
      <c r="BF115" t="s">
        <v>99</v>
      </c>
      <c r="BH115" t="s">
        <v>100</v>
      </c>
      <c r="BI115" t="s">
        <v>101</v>
      </c>
    </row>
    <row r="116" spans="1:62" ht="30" customHeight="1" x14ac:dyDescent="0.2">
      <c r="A116" s="20" t="s">
        <v>1671</v>
      </c>
      <c r="B116" s="21" t="s">
        <v>1672</v>
      </c>
      <c r="C116" s="22">
        <v>2011</v>
      </c>
      <c r="D116" s="25" t="s">
        <v>1673</v>
      </c>
      <c r="E116" s="21" t="s">
        <v>737</v>
      </c>
      <c r="F116" s="21" t="s">
        <v>857</v>
      </c>
      <c r="G116" s="21" t="s">
        <v>261</v>
      </c>
      <c r="H116" s="21" t="s">
        <v>91</v>
      </c>
      <c r="I116" s="21" t="s">
        <v>1674</v>
      </c>
      <c r="J116" s="21" t="s">
        <v>858</v>
      </c>
      <c r="K116" s="21" t="s">
        <v>859</v>
      </c>
      <c r="L116" s="21" t="s">
        <v>1675</v>
      </c>
      <c r="M116" s="23" t="s">
        <v>1676</v>
      </c>
      <c r="N116" s="21" t="s">
        <v>111</v>
      </c>
      <c r="O116" s="21" t="s">
        <v>487</v>
      </c>
      <c r="P116" s="21"/>
      <c r="Q116" s="21" t="s">
        <v>159</v>
      </c>
      <c r="R116" s="21" t="s">
        <v>1677</v>
      </c>
      <c r="S116" s="21">
        <v>3</v>
      </c>
      <c r="T116" s="21" t="s">
        <v>1678</v>
      </c>
      <c r="U116" s="21" t="s">
        <v>1679</v>
      </c>
      <c r="V116" s="21" t="s">
        <v>861</v>
      </c>
      <c r="W116" s="17">
        <v>0.9</v>
      </c>
      <c r="X116" s="17">
        <v>0.77</v>
      </c>
      <c r="Y116" s="17">
        <v>0.4</v>
      </c>
      <c r="Z116" s="17">
        <v>1</v>
      </c>
      <c r="AA116" s="18" t="b">
        <f>TRUE()</f>
        <v>1</v>
      </c>
      <c r="AB116" s="18" t="s">
        <v>246</v>
      </c>
      <c r="AC116" s="19">
        <v>0</v>
      </c>
      <c r="AD116" s="19">
        <v>0</v>
      </c>
      <c r="AE116" s="19">
        <v>0.81399999999999995</v>
      </c>
      <c r="AF116" s="19">
        <v>0.186</v>
      </c>
      <c r="AG116" s="19">
        <v>0</v>
      </c>
      <c r="AH116" s="19">
        <v>0</v>
      </c>
      <c r="AI116" s="19">
        <v>0</v>
      </c>
      <c r="AJ116" s="19">
        <v>0</v>
      </c>
      <c r="AK116" s="18" t="s">
        <v>342</v>
      </c>
      <c r="AL116">
        <v>0.67</v>
      </c>
      <c r="AM116">
        <v>0.28999999999999998</v>
      </c>
      <c r="AN116">
        <v>0.33</v>
      </c>
      <c r="AO116">
        <v>1</v>
      </c>
      <c r="AP116">
        <v>0.5</v>
      </c>
      <c r="AQ116">
        <v>0.17</v>
      </c>
      <c r="AR116">
        <v>0</v>
      </c>
      <c r="BF116" t="s">
        <v>247</v>
      </c>
      <c r="BG116" t="s">
        <v>265</v>
      </c>
      <c r="BH116" t="s">
        <v>249</v>
      </c>
      <c r="BI116" t="s">
        <v>1680</v>
      </c>
      <c r="BJ116">
        <v>1</v>
      </c>
    </row>
    <row r="117" spans="1:62" ht="30" customHeight="1" x14ac:dyDescent="0.2">
      <c r="A117" s="13" t="s">
        <v>1199</v>
      </c>
      <c r="B117" s="14" t="s">
        <v>1200</v>
      </c>
      <c r="C117" s="24">
        <v>2011</v>
      </c>
      <c r="D117" s="14" t="s">
        <v>1201</v>
      </c>
      <c r="E117" s="14" t="s">
        <v>788</v>
      </c>
      <c r="F117" s="14" t="s">
        <v>952</v>
      </c>
      <c r="G117" s="14" t="s">
        <v>388</v>
      </c>
      <c r="H117" s="14" t="s">
        <v>91</v>
      </c>
      <c r="I117" s="14"/>
      <c r="J117" s="14" t="s">
        <v>1202</v>
      </c>
      <c r="K117" s="14" t="s">
        <v>295</v>
      </c>
      <c r="L117" s="14"/>
      <c r="M117" s="16" t="s">
        <v>1203</v>
      </c>
      <c r="N117" s="14" t="s">
        <v>297</v>
      </c>
      <c r="O117" s="14" t="s">
        <v>96</v>
      </c>
      <c r="P117" s="14"/>
      <c r="Q117" s="14"/>
      <c r="R117" s="14"/>
      <c r="S117" s="14">
        <v>2</v>
      </c>
      <c r="T117" s="14" t="s">
        <v>1204</v>
      </c>
      <c r="U117" s="14"/>
      <c r="V117" s="21" t="s">
        <v>97</v>
      </c>
      <c r="W117" s="17">
        <v>0.3</v>
      </c>
      <c r="X117" s="17">
        <v>0.3</v>
      </c>
      <c r="Y117" s="17">
        <v>0.43</v>
      </c>
      <c r="Z117" s="17">
        <v>0</v>
      </c>
      <c r="AA117" s="18" t="b">
        <f>TRUE()</f>
        <v>1</v>
      </c>
      <c r="AB117" s="18" t="s">
        <v>246</v>
      </c>
      <c r="AC117" s="19">
        <v>0.184</v>
      </c>
      <c r="AD117" s="19">
        <v>0</v>
      </c>
      <c r="AE117" s="19">
        <v>0</v>
      </c>
      <c r="AF117" s="19">
        <v>0</v>
      </c>
      <c r="AG117" s="19">
        <v>0</v>
      </c>
      <c r="AH117" s="19">
        <v>0</v>
      </c>
      <c r="AI117" s="19">
        <v>0.81599999999999995</v>
      </c>
      <c r="AJ117" s="19">
        <v>0</v>
      </c>
      <c r="AK117" s="18" t="s">
        <v>299</v>
      </c>
      <c r="AL117">
        <v>0.17</v>
      </c>
      <c r="AM117">
        <v>0</v>
      </c>
      <c r="AN117">
        <v>0.33</v>
      </c>
      <c r="AO117">
        <v>0.83</v>
      </c>
      <c r="AP117">
        <v>0.67</v>
      </c>
      <c r="AQ117">
        <v>0.33</v>
      </c>
      <c r="AR117">
        <v>0</v>
      </c>
      <c r="BF117" t="s">
        <v>247</v>
      </c>
      <c r="BG117" t="s">
        <v>265</v>
      </c>
      <c r="BH117" t="s">
        <v>249</v>
      </c>
      <c r="BI117" t="s">
        <v>1205</v>
      </c>
      <c r="BJ117">
        <v>0</v>
      </c>
    </row>
    <row r="118" spans="1:62" ht="30" customHeight="1" x14ac:dyDescent="0.2">
      <c r="A118" s="13" t="s">
        <v>863</v>
      </c>
      <c r="B118" s="14" t="s">
        <v>864</v>
      </c>
      <c r="C118" s="24">
        <v>1987</v>
      </c>
      <c r="D118" s="14" t="s">
        <v>865</v>
      </c>
      <c r="E118" s="14" t="s">
        <v>788</v>
      </c>
      <c r="F118" s="14" t="s">
        <v>292</v>
      </c>
      <c r="G118" s="14" t="s">
        <v>131</v>
      </c>
      <c r="H118" s="14" t="s">
        <v>91</v>
      </c>
      <c r="I118" s="14"/>
      <c r="J118" s="21" t="s">
        <v>132</v>
      </c>
      <c r="K118" s="14" t="s">
        <v>295</v>
      </c>
      <c r="L118" s="14"/>
      <c r="M118" s="16" t="s">
        <v>866</v>
      </c>
      <c r="N118" s="14" t="s">
        <v>297</v>
      </c>
      <c r="O118" s="14" t="s">
        <v>867</v>
      </c>
      <c r="P118" s="14"/>
      <c r="Q118" s="14" t="s">
        <v>868</v>
      </c>
      <c r="R118" s="14"/>
      <c r="S118" s="14">
        <v>3</v>
      </c>
      <c r="T118" s="14" t="s">
        <v>869</v>
      </c>
      <c r="U118" s="14"/>
      <c r="V118" s="14" t="s">
        <v>97</v>
      </c>
      <c r="W118" s="17">
        <v>0.15</v>
      </c>
      <c r="X118" s="17">
        <v>0.12</v>
      </c>
      <c r="Y118" s="17">
        <v>0.22</v>
      </c>
      <c r="Z118" s="17">
        <v>0.05</v>
      </c>
      <c r="AA118" s="18" t="b">
        <f>FALSE()</f>
        <v>0</v>
      </c>
      <c r="AB118" s="18" t="s">
        <v>98</v>
      </c>
      <c r="AC118" s="19">
        <v>0.25</v>
      </c>
      <c r="AD118" s="19">
        <v>0</v>
      </c>
      <c r="AE118" s="19">
        <v>0</v>
      </c>
      <c r="AF118" s="19">
        <v>0</v>
      </c>
      <c r="AG118" s="19">
        <v>0</v>
      </c>
      <c r="AH118" s="19">
        <v>0</v>
      </c>
      <c r="AI118" s="19">
        <v>0.75</v>
      </c>
      <c r="AJ118" s="19">
        <v>0</v>
      </c>
      <c r="AK118" s="18" t="s">
        <v>299</v>
      </c>
      <c r="BF118" t="s">
        <v>99</v>
      </c>
      <c r="BH118" t="s">
        <v>100</v>
      </c>
      <c r="BI118" t="s">
        <v>101</v>
      </c>
    </row>
    <row r="119" spans="1:62" ht="30" customHeight="1" x14ac:dyDescent="0.2">
      <c r="A119" s="25"/>
      <c r="B119" s="21" t="s">
        <v>870</v>
      </c>
      <c r="C119" s="22">
        <v>1987</v>
      </c>
      <c r="D119" s="21" t="s">
        <v>871</v>
      </c>
      <c r="E119" s="21" t="s">
        <v>788</v>
      </c>
      <c r="F119" s="21" t="s">
        <v>789</v>
      </c>
      <c r="G119" s="25"/>
      <c r="H119" s="25"/>
      <c r="I119" s="25"/>
      <c r="J119" s="25"/>
      <c r="K119" s="25"/>
      <c r="L119" s="25"/>
      <c r="M119" s="25"/>
      <c r="N119" s="25"/>
      <c r="O119" s="25"/>
      <c r="P119" s="25"/>
      <c r="Q119" s="25"/>
      <c r="R119" s="25"/>
      <c r="S119" s="25"/>
      <c r="T119" s="25"/>
      <c r="U119" s="25"/>
      <c r="V119" s="21" t="s">
        <v>872</v>
      </c>
      <c r="AL119">
        <v>0.33</v>
      </c>
      <c r="AM119">
        <v>0.14000000000000001</v>
      </c>
      <c r="AN119">
        <v>0.33</v>
      </c>
      <c r="AO119">
        <v>0.17</v>
      </c>
      <c r="AP119">
        <v>0.33</v>
      </c>
      <c r="AQ119">
        <v>0.17</v>
      </c>
      <c r="AR119">
        <v>0.56999999999999995</v>
      </c>
      <c r="BF119" t="s">
        <v>247</v>
      </c>
      <c r="BG119" t="s">
        <v>248</v>
      </c>
      <c r="BH119" t="s">
        <v>249</v>
      </c>
      <c r="BI119" t="s">
        <v>873</v>
      </c>
      <c r="BJ119">
        <v>0.5</v>
      </c>
    </row>
    <row r="120" spans="1:62" ht="30" customHeight="1" x14ac:dyDescent="0.2">
      <c r="A120" s="25" t="s">
        <v>2061</v>
      </c>
      <c r="B120" s="14" t="s">
        <v>874</v>
      </c>
      <c r="C120" s="24">
        <v>1989</v>
      </c>
      <c r="D120" s="14" t="s">
        <v>875</v>
      </c>
      <c r="E120" s="25" t="s">
        <v>788</v>
      </c>
      <c r="F120" s="25" t="s">
        <v>828</v>
      </c>
      <c r="G120" s="25" t="s">
        <v>293</v>
      </c>
      <c r="H120" s="25" t="s">
        <v>91</v>
      </c>
      <c r="I120" s="25" t="s">
        <v>2075</v>
      </c>
      <c r="J120" s="25" t="s">
        <v>2074</v>
      </c>
      <c r="K120" s="25" t="s">
        <v>2083</v>
      </c>
      <c r="L120" s="25" t="s">
        <v>2071</v>
      </c>
      <c r="M120" s="25" t="s">
        <v>2072</v>
      </c>
      <c r="N120" s="25"/>
      <c r="O120" s="25"/>
      <c r="P120" s="25"/>
      <c r="Q120" s="25" t="s">
        <v>113</v>
      </c>
      <c r="R120" s="25"/>
      <c r="S120" s="25"/>
      <c r="T120" s="25" t="s">
        <v>2084</v>
      </c>
      <c r="U120" s="25"/>
      <c r="V120" s="25" t="s">
        <v>2062</v>
      </c>
      <c r="AL120">
        <v>0</v>
      </c>
      <c r="AM120">
        <v>0</v>
      </c>
      <c r="AN120">
        <f>(AN296+AN297)/2</f>
        <v>0.29500000000000004</v>
      </c>
      <c r="AO120">
        <f>(AO296+AO297)/2</f>
        <v>0.62249999999999994</v>
      </c>
      <c r="AP120">
        <f>(AP296+AP297)/2</f>
        <v>0.33</v>
      </c>
      <c r="AQ120">
        <f>(AQ296+AQ297)/2</f>
        <v>0.41500000000000004</v>
      </c>
      <c r="AR120">
        <v>0</v>
      </c>
      <c r="AS120" s="86" t="s">
        <v>2076</v>
      </c>
      <c r="AT120" s="86" t="s">
        <v>2077</v>
      </c>
      <c r="AU120" s="86" t="s">
        <v>2078</v>
      </c>
      <c r="BF120" t="s">
        <v>247</v>
      </c>
      <c r="BG120" t="s">
        <v>248</v>
      </c>
      <c r="BH120" t="s">
        <v>249</v>
      </c>
      <c r="BI120" t="s">
        <v>876</v>
      </c>
      <c r="BJ120">
        <v>0</v>
      </c>
    </row>
    <row r="121" spans="1:62" ht="30" customHeight="1" x14ac:dyDescent="0.2">
      <c r="A121" s="25"/>
      <c r="B121" s="21" t="s">
        <v>877</v>
      </c>
      <c r="C121" s="22">
        <v>1991</v>
      </c>
      <c r="D121" s="21" t="s">
        <v>878</v>
      </c>
      <c r="E121" s="21" t="s">
        <v>788</v>
      </c>
      <c r="F121" s="21" t="s">
        <v>789</v>
      </c>
      <c r="G121" s="25"/>
      <c r="H121" s="25"/>
      <c r="I121" s="25"/>
      <c r="J121" s="25"/>
      <c r="K121" s="25"/>
      <c r="L121" s="25"/>
      <c r="M121" s="25"/>
      <c r="N121" s="25"/>
      <c r="O121" s="25"/>
      <c r="P121" s="25"/>
      <c r="Q121" s="25"/>
      <c r="R121" s="25"/>
      <c r="S121" s="25"/>
      <c r="T121" s="25"/>
      <c r="U121" s="25"/>
      <c r="V121" s="21" t="s">
        <v>872</v>
      </c>
      <c r="AL121">
        <v>0.17</v>
      </c>
      <c r="AM121">
        <v>0</v>
      </c>
      <c r="AN121">
        <v>0.33</v>
      </c>
      <c r="AO121">
        <v>0.83</v>
      </c>
      <c r="AP121">
        <v>0.33</v>
      </c>
      <c r="AQ121">
        <v>0.33</v>
      </c>
      <c r="AR121">
        <v>0</v>
      </c>
      <c r="BF121" t="s">
        <v>247</v>
      </c>
      <c r="BG121" t="s">
        <v>248</v>
      </c>
      <c r="BH121" t="s">
        <v>249</v>
      </c>
      <c r="BI121" t="s">
        <v>879</v>
      </c>
      <c r="BJ121">
        <v>0</v>
      </c>
    </row>
    <row r="122" spans="1:62" ht="30" customHeight="1" x14ac:dyDescent="0.2">
      <c r="A122" s="20" t="s">
        <v>880</v>
      </c>
      <c r="B122" s="21" t="s">
        <v>826</v>
      </c>
      <c r="C122" s="22">
        <v>1992</v>
      </c>
      <c r="D122" s="21" t="s">
        <v>881</v>
      </c>
      <c r="E122" s="21" t="s">
        <v>788</v>
      </c>
      <c r="F122" s="21" t="s">
        <v>828</v>
      </c>
      <c r="G122" s="21" t="s">
        <v>150</v>
      </c>
      <c r="H122" s="21" t="s">
        <v>91</v>
      </c>
      <c r="I122" s="21"/>
      <c r="J122" s="21" t="s">
        <v>132</v>
      </c>
      <c r="K122" s="21" t="s">
        <v>295</v>
      </c>
      <c r="L122" s="21"/>
      <c r="M122" s="23" t="s">
        <v>882</v>
      </c>
      <c r="N122" s="21" t="s">
        <v>297</v>
      </c>
      <c r="O122" s="21" t="s">
        <v>883</v>
      </c>
      <c r="P122" s="21"/>
      <c r="Q122" s="25" t="s">
        <v>2045</v>
      </c>
      <c r="R122" s="25"/>
      <c r="S122" s="21">
        <v>3</v>
      </c>
      <c r="T122" s="21" t="s">
        <v>884</v>
      </c>
      <c r="U122" s="21"/>
      <c r="V122" s="14" t="s">
        <v>97</v>
      </c>
      <c r="W122" s="17">
        <v>0.4</v>
      </c>
      <c r="X122" s="17">
        <v>0.3</v>
      </c>
      <c r="Y122" s="17">
        <v>0.42</v>
      </c>
      <c r="Z122" s="17">
        <v>0.05</v>
      </c>
      <c r="AA122" s="18" t="b">
        <f>FALSE()</f>
        <v>0</v>
      </c>
      <c r="AB122" s="18" t="s">
        <v>98</v>
      </c>
      <c r="AC122" s="19">
        <v>7.9000000000000001E-2</v>
      </c>
      <c r="AD122" s="19">
        <v>0</v>
      </c>
      <c r="AE122" s="19">
        <v>0</v>
      </c>
      <c r="AF122" s="19">
        <v>0</v>
      </c>
      <c r="AG122" s="19">
        <v>0</v>
      </c>
      <c r="AH122" s="19">
        <v>0</v>
      </c>
      <c r="AI122" s="19">
        <v>0.92100000000000004</v>
      </c>
      <c r="AJ122" s="19">
        <v>0</v>
      </c>
      <c r="AK122" s="18" t="s">
        <v>299</v>
      </c>
      <c r="BF122" t="s">
        <v>99</v>
      </c>
      <c r="BH122" t="s">
        <v>100</v>
      </c>
      <c r="BI122" t="s">
        <v>101</v>
      </c>
    </row>
    <row r="123" spans="1:62" ht="30" customHeight="1" x14ac:dyDescent="0.2">
      <c r="A123" s="13" t="s">
        <v>885</v>
      </c>
      <c r="B123" s="14" t="s">
        <v>886</v>
      </c>
      <c r="C123" s="25">
        <v>1993</v>
      </c>
      <c r="D123" s="14" t="s">
        <v>887</v>
      </c>
      <c r="E123" s="14" t="s">
        <v>788</v>
      </c>
      <c r="F123" s="14" t="s">
        <v>789</v>
      </c>
      <c r="G123" s="14" t="s">
        <v>329</v>
      </c>
      <c r="H123" s="14" t="s">
        <v>108</v>
      </c>
      <c r="I123" s="14"/>
      <c r="J123" s="14" t="s">
        <v>462</v>
      </c>
      <c r="K123" s="14" t="s">
        <v>295</v>
      </c>
      <c r="L123" s="14"/>
      <c r="M123" s="25"/>
      <c r="N123" s="14" t="s">
        <v>297</v>
      </c>
      <c r="O123" s="25"/>
      <c r="P123" s="25"/>
      <c r="Q123" s="14" t="s">
        <v>159</v>
      </c>
      <c r="R123" s="14"/>
      <c r="S123" s="14">
        <v>3</v>
      </c>
      <c r="T123" s="25"/>
      <c r="U123" s="25"/>
      <c r="V123" s="25" t="s">
        <v>1243</v>
      </c>
      <c r="W123" s="17">
        <v>0.2</v>
      </c>
      <c r="X123" s="17">
        <v>0.15</v>
      </c>
      <c r="Y123" s="17">
        <v>0.65</v>
      </c>
      <c r="Z123" s="17">
        <v>0.05</v>
      </c>
      <c r="AA123" s="18" t="b">
        <f>FALSE()</f>
        <v>0</v>
      </c>
      <c r="AB123" s="18" t="s">
        <v>98</v>
      </c>
      <c r="AC123" s="19">
        <v>0.214</v>
      </c>
      <c r="AD123" s="19">
        <v>0</v>
      </c>
      <c r="AE123" s="19">
        <v>0</v>
      </c>
      <c r="AF123" s="19">
        <v>9.5000000000000001E-2</v>
      </c>
      <c r="AG123" s="19">
        <v>0</v>
      </c>
      <c r="AH123" s="19">
        <v>0</v>
      </c>
      <c r="AI123" s="19">
        <v>0.64300000000000002</v>
      </c>
      <c r="AJ123" s="19">
        <v>4.8000000000000001E-2</v>
      </c>
      <c r="AK123" s="18" t="s">
        <v>299</v>
      </c>
      <c r="AL123">
        <v>0</v>
      </c>
      <c r="AM123">
        <v>0</v>
      </c>
      <c r="AN123">
        <v>0.33</v>
      </c>
      <c r="AO123">
        <v>0.17</v>
      </c>
      <c r="AP123">
        <v>0.67</v>
      </c>
      <c r="AQ123">
        <v>0.17</v>
      </c>
      <c r="AR123">
        <v>0</v>
      </c>
      <c r="BF123" t="s">
        <v>247</v>
      </c>
      <c r="BG123" t="s">
        <v>248</v>
      </c>
      <c r="BH123" t="s">
        <v>249</v>
      </c>
      <c r="BI123" t="s">
        <v>888</v>
      </c>
      <c r="BJ123">
        <v>0</v>
      </c>
    </row>
    <row r="124" spans="1:62" ht="30" customHeight="1" x14ac:dyDescent="0.2">
      <c r="A124" s="20" t="s">
        <v>889</v>
      </c>
      <c r="B124" s="21" t="s">
        <v>826</v>
      </c>
      <c r="C124" s="27">
        <v>1995</v>
      </c>
      <c r="D124" s="21" t="s">
        <v>890</v>
      </c>
      <c r="E124" s="21" t="s">
        <v>788</v>
      </c>
      <c r="F124" s="21" t="s">
        <v>789</v>
      </c>
      <c r="G124" s="21" t="s">
        <v>131</v>
      </c>
      <c r="H124" s="21" t="s">
        <v>91</v>
      </c>
      <c r="I124" s="21"/>
      <c r="J124" s="21" t="s">
        <v>132</v>
      </c>
      <c r="K124" s="21" t="s">
        <v>295</v>
      </c>
      <c r="L124" s="21"/>
      <c r="M124" s="23" t="s">
        <v>891</v>
      </c>
      <c r="N124" s="21" t="s">
        <v>297</v>
      </c>
      <c r="O124" s="21" t="s">
        <v>892</v>
      </c>
      <c r="P124" s="21"/>
      <c r="Q124" s="21"/>
      <c r="R124" s="21"/>
      <c r="S124" s="21">
        <v>3</v>
      </c>
      <c r="T124" s="21" t="s">
        <v>893</v>
      </c>
      <c r="U124" s="29" t="s">
        <v>894</v>
      </c>
      <c r="V124" s="14" t="s">
        <v>97</v>
      </c>
      <c r="W124" s="17">
        <v>0.2</v>
      </c>
      <c r="X124" s="17">
        <v>0.15</v>
      </c>
      <c r="Y124" s="17">
        <v>0.65</v>
      </c>
      <c r="Z124" s="17">
        <v>0.05</v>
      </c>
      <c r="AA124" s="18" t="b">
        <f>FALSE()</f>
        <v>0</v>
      </c>
      <c r="AB124" s="18" t="s">
        <v>98</v>
      </c>
      <c r="AC124" s="19">
        <v>0.214</v>
      </c>
      <c r="AD124" s="19">
        <v>0</v>
      </c>
      <c r="AE124" s="19">
        <v>0</v>
      </c>
      <c r="AF124" s="19">
        <v>9.5000000000000001E-2</v>
      </c>
      <c r="AG124" s="19">
        <v>0</v>
      </c>
      <c r="AH124" s="19">
        <v>0</v>
      </c>
      <c r="AI124" s="19">
        <v>0.64300000000000002</v>
      </c>
      <c r="AJ124" s="19">
        <v>4.8000000000000001E-2</v>
      </c>
      <c r="AK124" s="18" t="s">
        <v>299</v>
      </c>
      <c r="BF124" t="s">
        <v>99</v>
      </c>
      <c r="BH124" t="s">
        <v>100</v>
      </c>
      <c r="BI124" t="s">
        <v>101</v>
      </c>
    </row>
    <row r="125" spans="1:62" ht="30" customHeight="1" x14ac:dyDescent="0.2">
      <c r="A125" s="20" t="s">
        <v>895</v>
      </c>
      <c r="B125" s="21" t="s">
        <v>896</v>
      </c>
      <c r="C125" s="27">
        <v>1997</v>
      </c>
      <c r="D125" s="21" t="s">
        <v>897</v>
      </c>
      <c r="E125" s="21" t="s">
        <v>524</v>
      </c>
      <c r="F125" s="21" t="s">
        <v>644</v>
      </c>
      <c r="G125" s="21" t="s">
        <v>131</v>
      </c>
      <c r="H125" s="21" t="s">
        <v>241</v>
      </c>
      <c r="I125" s="21"/>
      <c r="J125" s="21" t="s">
        <v>898</v>
      </c>
      <c r="K125" s="21" t="s">
        <v>693</v>
      </c>
      <c r="L125" s="21"/>
      <c r="M125" s="23" t="s">
        <v>899</v>
      </c>
      <c r="N125" s="21" t="s">
        <v>199</v>
      </c>
      <c r="O125" s="21" t="s">
        <v>398</v>
      </c>
      <c r="P125" s="21" t="s">
        <v>900</v>
      </c>
      <c r="Q125" s="21" t="s">
        <v>901</v>
      </c>
      <c r="R125" s="21"/>
      <c r="S125" s="21">
        <v>3</v>
      </c>
      <c r="T125" s="21"/>
      <c r="U125" s="21"/>
      <c r="V125" s="21" t="s">
        <v>902</v>
      </c>
      <c r="W125" s="17">
        <v>0.45</v>
      </c>
      <c r="X125" s="17">
        <v>0.3</v>
      </c>
      <c r="Y125" s="17">
        <v>0.65</v>
      </c>
      <c r="Z125" s="17">
        <v>0.75</v>
      </c>
      <c r="AA125" s="18" t="b">
        <f>FALSE()</f>
        <v>0</v>
      </c>
      <c r="AB125" s="18" t="s">
        <v>98</v>
      </c>
      <c r="AC125" s="19">
        <v>0</v>
      </c>
      <c r="AD125" s="19">
        <v>0</v>
      </c>
      <c r="AE125" s="19">
        <v>0</v>
      </c>
      <c r="AF125" s="19">
        <v>0.378</v>
      </c>
      <c r="AG125" s="19">
        <v>0.33300000000000002</v>
      </c>
      <c r="AH125" s="19">
        <v>0</v>
      </c>
      <c r="AI125" s="19">
        <v>0</v>
      </c>
      <c r="AJ125" s="19">
        <v>0.28899999999999998</v>
      </c>
      <c r="AK125" s="18" t="s">
        <v>442</v>
      </c>
      <c r="BF125" t="s">
        <v>99</v>
      </c>
      <c r="BH125" t="s">
        <v>100</v>
      </c>
      <c r="BI125" t="s">
        <v>101</v>
      </c>
    </row>
    <row r="126" spans="1:62" ht="30" customHeight="1" x14ac:dyDescent="0.2">
      <c r="A126" s="25" t="s">
        <v>903</v>
      </c>
      <c r="B126" s="25" t="s">
        <v>904</v>
      </c>
      <c r="C126" s="25">
        <v>2000</v>
      </c>
      <c r="D126" s="25" t="s">
        <v>905</v>
      </c>
      <c r="E126" s="14" t="s">
        <v>788</v>
      </c>
      <c r="F126" s="25" t="s">
        <v>843</v>
      </c>
      <c r="G126" s="14" t="s">
        <v>224</v>
      </c>
      <c r="H126" s="14" t="s">
        <v>121</v>
      </c>
      <c r="I126" s="14"/>
      <c r="J126" s="25"/>
      <c r="K126" s="14" t="s">
        <v>295</v>
      </c>
      <c r="L126" s="14"/>
      <c r="M126" s="25"/>
      <c r="N126" s="14" t="s">
        <v>906</v>
      </c>
      <c r="O126" s="25"/>
      <c r="P126" s="25"/>
      <c r="Q126" s="25"/>
      <c r="R126" s="25"/>
      <c r="S126" s="14">
        <v>1</v>
      </c>
      <c r="T126" s="25" t="s">
        <v>907</v>
      </c>
      <c r="U126" s="25"/>
      <c r="V126" s="25"/>
      <c r="W126" s="17">
        <v>0.57999999999999996</v>
      </c>
      <c r="X126" s="17">
        <v>0.53</v>
      </c>
      <c r="Y126" s="17">
        <v>0.47</v>
      </c>
      <c r="Z126" s="17">
        <v>0.15</v>
      </c>
      <c r="AA126" s="18" t="b">
        <f>FALSE()</f>
        <v>0</v>
      </c>
      <c r="AB126" s="18" t="s">
        <v>126</v>
      </c>
      <c r="AC126" s="19">
        <v>7.9000000000000001E-2</v>
      </c>
      <c r="AD126" s="19">
        <v>0</v>
      </c>
      <c r="AE126" s="19">
        <v>5.2999999999999999E-2</v>
      </c>
      <c r="AF126" s="19">
        <v>0</v>
      </c>
      <c r="AG126" s="19">
        <v>0</v>
      </c>
      <c r="AH126" s="19">
        <v>0.105</v>
      </c>
      <c r="AI126" s="19">
        <v>0.76300000000000001</v>
      </c>
      <c r="AJ126" s="19">
        <v>0</v>
      </c>
      <c r="AK126" s="18" t="s">
        <v>299</v>
      </c>
      <c r="BF126" t="s">
        <v>99</v>
      </c>
      <c r="BH126" t="s">
        <v>100</v>
      </c>
      <c r="BI126" t="s">
        <v>101</v>
      </c>
    </row>
    <row r="127" spans="1:62" ht="30" customHeight="1" x14ac:dyDescent="0.2">
      <c r="A127" s="25" t="s">
        <v>908</v>
      </c>
      <c r="B127" s="25" t="s">
        <v>909</v>
      </c>
      <c r="C127" s="25">
        <v>2001</v>
      </c>
      <c r="D127" s="25" t="s">
        <v>910</v>
      </c>
      <c r="E127" s="14" t="s">
        <v>788</v>
      </c>
      <c r="F127" s="25" t="s">
        <v>843</v>
      </c>
      <c r="G127" s="14" t="s">
        <v>224</v>
      </c>
      <c r="H127" s="14" t="s">
        <v>121</v>
      </c>
      <c r="I127" s="14"/>
      <c r="J127" s="25"/>
      <c r="K127" s="14" t="s">
        <v>295</v>
      </c>
      <c r="L127" s="14"/>
      <c r="M127" s="25"/>
      <c r="N127" s="14" t="s">
        <v>906</v>
      </c>
      <c r="O127" s="25"/>
      <c r="P127" s="25"/>
      <c r="Q127" s="25"/>
      <c r="R127" s="25"/>
      <c r="S127" s="14">
        <v>1</v>
      </c>
      <c r="T127" s="25" t="s">
        <v>907</v>
      </c>
      <c r="U127" s="25"/>
      <c r="V127" s="25"/>
      <c r="W127" s="17">
        <v>0.57999999999999996</v>
      </c>
      <c r="X127" s="17">
        <v>0.53</v>
      </c>
      <c r="Y127" s="17">
        <v>0.47</v>
      </c>
      <c r="Z127" s="17">
        <v>0.15</v>
      </c>
      <c r="AA127" s="18" t="b">
        <f>FALSE()</f>
        <v>0</v>
      </c>
      <c r="AB127" s="18" t="s">
        <v>126</v>
      </c>
      <c r="AC127" s="19">
        <v>7.9000000000000001E-2</v>
      </c>
      <c r="AD127" s="19">
        <v>0</v>
      </c>
      <c r="AE127" s="19">
        <v>5.2999999999999999E-2</v>
      </c>
      <c r="AF127" s="19">
        <v>0</v>
      </c>
      <c r="AG127" s="19">
        <v>0</v>
      </c>
      <c r="AH127" s="19">
        <v>0.105</v>
      </c>
      <c r="AI127" s="19">
        <v>0.76300000000000001</v>
      </c>
      <c r="AJ127" s="19">
        <v>0</v>
      </c>
      <c r="AK127" s="18" t="s">
        <v>299</v>
      </c>
      <c r="BF127" t="s">
        <v>99</v>
      </c>
      <c r="BH127" t="s">
        <v>100</v>
      </c>
      <c r="BI127" t="s">
        <v>101</v>
      </c>
    </row>
    <row r="128" spans="1:62" ht="30" customHeight="1" x14ac:dyDescent="0.2">
      <c r="A128" s="25" t="s">
        <v>911</v>
      </c>
      <c r="B128" s="25" t="s">
        <v>912</v>
      </c>
      <c r="C128" s="25">
        <v>2001</v>
      </c>
      <c r="D128" s="25" t="s">
        <v>913</v>
      </c>
      <c r="E128" s="14" t="s">
        <v>788</v>
      </c>
      <c r="F128" s="25" t="s">
        <v>843</v>
      </c>
      <c r="G128" s="14" t="s">
        <v>224</v>
      </c>
      <c r="H128" s="14" t="s">
        <v>121</v>
      </c>
      <c r="I128" s="14"/>
      <c r="J128" s="25"/>
      <c r="K128" s="14" t="s">
        <v>295</v>
      </c>
      <c r="L128" s="14"/>
      <c r="M128" s="25"/>
      <c r="N128" s="14" t="s">
        <v>906</v>
      </c>
      <c r="O128" s="25"/>
      <c r="P128" s="25"/>
      <c r="Q128" s="25"/>
      <c r="R128" s="25"/>
      <c r="S128" s="14">
        <v>1</v>
      </c>
      <c r="T128" s="25" t="s">
        <v>907</v>
      </c>
      <c r="U128" s="25"/>
      <c r="V128" s="25"/>
      <c r="W128" s="17">
        <v>0.57999999999999996</v>
      </c>
      <c r="X128" s="17">
        <v>0.53</v>
      </c>
      <c r="Y128" s="17">
        <v>0.47</v>
      </c>
      <c r="Z128" s="17">
        <v>0.15</v>
      </c>
      <c r="AA128" s="18" t="b">
        <f>FALSE()</f>
        <v>0</v>
      </c>
      <c r="AB128" s="18" t="s">
        <v>126</v>
      </c>
      <c r="AC128" s="19">
        <v>7.9000000000000001E-2</v>
      </c>
      <c r="AD128" s="19">
        <v>0</v>
      </c>
      <c r="AE128" s="19">
        <v>5.2999999999999999E-2</v>
      </c>
      <c r="AF128" s="19">
        <v>0</v>
      </c>
      <c r="AG128" s="19">
        <v>0</v>
      </c>
      <c r="AH128" s="19">
        <v>0.105</v>
      </c>
      <c r="AI128" s="19">
        <v>0.76300000000000001</v>
      </c>
      <c r="AJ128" s="19">
        <v>0</v>
      </c>
      <c r="AK128" s="18" t="s">
        <v>299</v>
      </c>
      <c r="BF128" t="s">
        <v>99</v>
      </c>
      <c r="BH128" t="s">
        <v>100</v>
      </c>
      <c r="BI128" t="s">
        <v>101</v>
      </c>
    </row>
    <row r="129" spans="1:62" ht="30" customHeight="1" x14ac:dyDescent="0.2">
      <c r="A129" s="13" t="s">
        <v>914</v>
      </c>
      <c r="B129" s="14" t="s">
        <v>915</v>
      </c>
      <c r="C129" s="24">
        <v>2001</v>
      </c>
      <c r="D129" s="14" t="s">
        <v>916</v>
      </c>
      <c r="E129" s="14" t="s">
        <v>788</v>
      </c>
      <c r="F129" s="14" t="s">
        <v>828</v>
      </c>
      <c r="G129" s="14" t="s">
        <v>131</v>
      </c>
      <c r="H129" s="14" t="s">
        <v>108</v>
      </c>
      <c r="I129" s="14"/>
      <c r="J129" s="14" t="s">
        <v>917</v>
      </c>
      <c r="K129" s="14" t="s">
        <v>295</v>
      </c>
      <c r="L129" s="14"/>
      <c r="M129" s="16" t="s">
        <v>918</v>
      </c>
      <c r="N129" s="14" t="s">
        <v>297</v>
      </c>
      <c r="O129" s="14" t="s">
        <v>144</v>
      </c>
      <c r="P129" s="14"/>
      <c r="Q129" s="14"/>
      <c r="R129" s="14"/>
      <c r="S129" s="14">
        <v>3</v>
      </c>
      <c r="T129" s="14"/>
      <c r="U129" s="14"/>
      <c r="V129" s="14" t="s">
        <v>97</v>
      </c>
      <c r="W129" s="17">
        <v>0.4</v>
      </c>
      <c r="X129" s="17">
        <v>0.3</v>
      </c>
      <c r="Y129" s="17">
        <v>0.42</v>
      </c>
      <c r="Z129" s="17">
        <v>0.05</v>
      </c>
      <c r="AA129" s="18" t="b">
        <f>FALSE()</f>
        <v>0</v>
      </c>
      <c r="AB129" s="18" t="s">
        <v>98</v>
      </c>
      <c r="AC129" s="19">
        <v>7.9000000000000001E-2</v>
      </c>
      <c r="AD129" s="19">
        <v>0</v>
      </c>
      <c r="AE129" s="19">
        <v>0</v>
      </c>
      <c r="AF129" s="19">
        <v>0</v>
      </c>
      <c r="AG129" s="19">
        <v>0</v>
      </c>
      <c r="AH129" s="19">
        <v>0</v>
      </c>
      <c r="AI129" s="19">
        <v>0.92100000000000004</v>
      </c>
      <c r="AJ129" s="19">
        <v>0</v>
      </c>
      <c r="AK129" s="18" t="s">
        <v>299</v>
      </c>
      <c r="BF129" t="s">
        <v>99</v>
      </c>
      <c r="BH129" t="s">
        <v>100</v>
      </c>
      <c r="BI129" t="s">
        <v>101</v>
      </c>
    </row>
    <row r="130" spans="1:62" ht="30" customHeight="1" x14ac:dyDescent="0.2">
      <c r="A130" s="25" t="s">
        <v>2093</v>
      </c>
      <c r="B130" s="25" t="s">
        <v>599</v>
      </c>
      <c r="C130" s="25">
        <v>2012</v>
      </c>
      <c r="D130" s="25" t="s">
        <v>2012</v>
      </c>
      <c r="E130" s="25" t="s">
        <v>2086</v>
      </c>
      <c r="F130" s="14" t="s">
        <v>588</v>
      </c>
      <c r="G130" s="25" t="s">
        <v>261</v>
      </c>
      <c r="H130" s="25" t="s">
        <v>91</v>
      </c>
      <c r="I130" s="26" t="s">
        <v>2088</v>
      </c>
      <c r="J130" s="14" t="s">
        <v>589</v>
      </c>
      <c r="K130" s="14" t="s">
        <v>590</v>
      </c>
      <c r="L130" s="25" t="s">
        <v>2089</v>
      </c>
      <c r="M130" s="25" t="s">
        <v>2090</v>
      </c>
      <c r="N130" s="14" t="s">
        <v>199</v>
      </c>
      <c r="O130" s="14" t="s">
        <v>2091</v>
      </c>
      <c r="P130" s="25"/>
      <c r="Q130" s="25"/>
      <c r="R130" s="25" t="s">
        <v>2105</v>
      </c>
      <c r="S130" s="25"/>
      <c r="T130" s="25" t="s">
        <v>2092</v>
      </c>
      <c r="U130" s="26" t="s">
        <v>2087</v>
      </c>
      <c r="V130" s="25"/>
      <c r="AA130" s="18" t="b">
        <f>TRUE()</f>
        <v>1</v>
      </c>
      <c r="AB130" s="18" t="s">
        <v>246</v>
      </c>
      <c r="AK130" s="18" t="s">
        <v>342</v>
      </c>
      <c r="AL130">
        <v>0.67</v>
      </c>
      <c r="AM130">
        <f>(0.71+0.57)/2</f>
        <v>0.6399999999999999</v>
      </c>
      <c r="AN130">
        <f>(AW130+AZ130+BC130)/3</f>
        <v>0.38999999999999996</v>
      </c>
      <c r="AO130">
        <f>(AX130+BA130+BD130)/3</f>
        <v>0.44333333333333336</v>
      </c>
      <c r="AP130">
        <f>(AY130+BB130+BE130)/3</f>
        <v>0.55666666666666664</v>
      </c>
      <c r="AQ130">
        <v>0.17</v>
      </c>
      <c r="AR130">
        <v>0</v>
      </c>
      <c r="AS130" s="86" t="s">
        <v>342</v>
      </c>
      <c r="AT130" s="86" t="s">
        <v>2096</v>
      </c>
      <c r="AU130" s="86" t="s">
        <v>2097</v>
      </c>
      <c r="AV130" s="86" t="s">
        <v>2099</v>
      </c>
      <c r="AW130">
        <v>0.5</v>
      </c>
      <c r="AX130">
        <v>0.33</v>
      </c>
      <c r="AY130">
        <v>0.67</v>
      </c>
      <c r="AZ130">
        <v>0.17</v>
      </c>
      <c r="BA130">
        <v>0.33</v>
      </c>
      <c r="BB130">
        <f>1/2</f>
        <v>0.5</v>
      </c>
      <c r="BC130">
        <v>0.5</v>
      </c>
      <c r="BD130">
        <v>0.67</v>
      </c>
      <c r="BE130">
        <f>1/2</f>
        <v>0.5</v>
      </c>
    </row>
    <row r="131" spans="1:62" ht="30" customHeight="1" x14ac:dyDescent="0.2">
      <c r="A131" s="13" t="s">
        <v>927</v>
      </c>
      <c r="B131" s="14" t="s">
        <v>928</v>
      </c>
      <c r="C131" s="24">
        <v>2003</v>
      </c>
      <c r="D131" s="14" t="s">
        <v>929</v>
      </c>
      <c r="E131" s="14" t="s">
        <v>788</v>
      </c>
      <c r="F131" s="14" t="s">
        <v>789</v>
      </c>
      <c r="G131" s="14" t="s">
        <v>131</v>
      </c>
      <c r="H131" s="14" t="s">
        <v>254</v>
      </c>
      <c r="I131" s="14"/>
      <c r="J131" s="14" t="s">
        <v>132</v>
      </c>
      <c r="K131" s="14" t="s">
        <v>295</v>
      </c>
      <c r="L131" s="14"/>
      <c r="M131" s="16" t="s">
        <v>930</v>
      </c>
      <c r="N131" s="14" t="s">
        <v>297</v>
      </c>
      <c r="O131" s="14" t="s">
        <v>457</v>
      </c>
      <c r="P131" s="14"/>
      <c r="Q131" s="14"/>
      <c r="R131" s="14"/>
      <c r="S131" s="14">
        <v>3</v>
      </c>
      <c r="T131" s="14"/>
      <c r="U131" s="14"/>
      <c r="V131" s="14" t="s">
        <v>97</v>
      </c>
      <c r="W131" s="17">
        <v>0.2</v>
      </c>
      <c r="X131" s="17">
        <v>0.15</v>
      </c>
      <c r="Y131" s="17">
        <v>0.65</v>
      </c>
      <c r="Z131" s="17">
        <v>0.05</v>
      </c>
      <c r="AA131" s="18" t="b">
        <f>FALSE()</f>
        <v>0</v>
      </c>
      <c r="AB131" s="18" t="s">
        <v>98</v>
      </c>
      <c r="AC131" s="19">
        <v>0.214</v>
      </c>
      <c r="AD131" s="19">
        <v>0</v>
      </c>
      <c r="AE131" s="19">
        <v>0</v>
      </c>
      <c r="AF131" s="19">
        <v>9.5000000000000001E-2</v>
      </c>
      <c r="AG131" s="19">
        <v>0</v>
      </c>
      <c r="AH131" s="19">
        <v>0</v>
      </c>
      <c r="AI131" s="19">
        <v>0.64300000000000002</v>
      </c>
      <c r="AJ131" s="19">
        <v>4.8000000000000001E-2</v>
      </c>
      <c r="AK131" s="18" t="s">
        <v>299</v>
      </c>
      <c r="BF131" t="s">
        <v>99</v>
      </c>
      <c r="BH131" t="s">
        <v>100</v>
      </c>
      <c r="BI131" t="s">
        <v>101</v>
      </c>
    </row>
    <row r="132" spans="1:62" ht="30" customHeight="1" x14ac:dyDescent="0.2">
      <c r="A132" s="25" t="s">
        <v>2094</v>
      </c>
      <c r="B132" s="25" t="s">
        <v>599</v>
      </c>
      <c r="C132" s="25">
        <v>2012</v>
      </c>
      <c r="D132" s="25" t="s">
        <v>2012</v>
      </c>
      <c r="E132" s="25" t="s">
        <v>2086</v>
      </c>
      <c r="F132" s="14" t="s">
        <v>588</v>
      </c>
      <c r="G132" s="25" t="s">
        <v>261</v>
      </c>
      <c r="H132" s="25" t="s">
        <v>91</v>
      </c>
      <c r="I132" s="26" t="s">
        <v>2088</v>
      </c>
      <c r="J132" s="14" t="s">
        <v>589</v>
      </c>
      <c r="K132" s="14" t="s">
        <v>590</v>
      </c>
      <c r="L132" s="25" t="s">
        <v>2089</v>
      </c>
      <c r="M132" s="25" t="s">
        <v>2090</v>
      </c>
      <c r="N132" s="14" t="s">
        <v>199</v>
      </c>
      <c r="O132" s="14" t="s">
        <v>2091</v>
      </c>
      <c r="P132" s="25"/>
      <c r="Q132" s="25"/>
      <c r="R132" s="25" t="s">
        <v>2105</v>
      </c>
      <c r="S132" s="25"/>
      <c r="T132" s="25" t="s">
        <v>2092</v>
      </c>
      <c r="U132" s="26" t="s">
        <v>2087</v>
      </c>
      <c r="V132" s="25"/>
      <c r="AA132" s="18" t="b">
        <f>TRUE()</f>
        <v>1</v>
      </c>
      <c r="AB132" s="18" t="s">
        <v>246</v>
      </c>
      <c r="AK132" s="18" t="s">
        <v>342</v>
      </c>
      <c r="AL132">
        <v>0.67</v>
      </c>
      <c r="AM132">
        <f>(0.71+0.57)/2</f>
        <v>0.6399999999999999</v>
      </c>
      <c r="AN132">
        <f>(AW132+AZ132+BC132)/3</f>
        <v>0.38999999999999996</v>
      </c>
      <c r="AO132">
        <f>(AX132+BA132+BD132)/3</f>
        <v>0.38666666666666671</v>
      </c>
      <c r="AP132">
        <f>(AY132+BB132+BE132)/3</f>
        <v>0.55666666666666664</v>
      </c>
      <c r="AS132" s="86" t="s">
        <v>342</v>
      </c>
      <c r="AT132" s="86" t="s">
        <v>2098</v>
      </c>
      <c r="AV132" s="86" t="s">
        <v>2103</v>
      </c>
      <c r="AW132">
        <v>0.5</v>
      </c>
      <c r="AX132">
        <v>0.33</v>
      </c>
      <c r="AY132">
        <v>0.67</v>
      </c>
      <c r="AZ132">
        <v>0.17</v>
      </c>
      <c r="BA132">
        <v>0.33</v>
      </c>
      <c r="BB132">
        <f>1/2</f>
        <v>0.5</v>
      </c>
      <c r="BC132">
        <v>0.5</v>
      </c>
      <c r="BD132">
        <v>0.5</v>
      </c>
      <c r="BE132">
        <f>1/2</f>
        <v>0.5</v>
      </c>
    </row>
    <row r="133" spans="1:62" ht="30" customHeight="1" x14ac:dyDescent="0.2">
      <c r="A133" s="13" t="s">
        <v>937</v>
      </c>
      <c r="B133" s="14" t="s">
        <v>938</v>
      </c>
      <c r="C133" s="24">
        <v>2005</v>
      </c>
      <c r="D133" s="14" t="s">
        <v>939</v>
      </c>
      <c r="E133" s="14" t="s">
        <v>788</v>
      </c>
      <c r="F133" s="14" t="s">
        <v>789</v>
      </c>
      <c r="G133" s="14" t="s">
        <v>224</v>
      </c>
      <c r="H133" s="14" t="s">
        <v>108</v>
      </c>
      <c r="I133" s="14"/>
      <c r="J133" s="14" t="s">
        <v>940</v>
      </c>
      <c r="K133" s="14" t="s">
        <v>295</v>
      </c>
      <c r="L133" s="14"/>
      <c r="M133" s="16" t="s">
        <v>941</v>
      </c>
      <c r="N133" s="14" t="s">
        <v>297</v>
      </c>
      <c r="O133" s="14" t="s">
        <v>112</v>
      </c>
      <c r="P133" s="14" t="s">
        <v>942</v>
      </c>
      <c r="Q133" s="14" t="s">
        <v>901</v>
      </c>
      <c r="R133" s="14"/>
      <c r="S133" s="14">
        <v>3</v>
      </c>
      <c r="T133" s="14"/>
      <c r="U133" s="14"/>
      <c r="V133" s="14" t="s">
        <v>902</v>
      </c>
      <c r="W133" s="17">
        <v>0.2</v>
      </c>
      <c r="X133" s="17">
        <v>0.2</v>
      </c>
      <c r="Y133" s="17">
        <v>0.7</v>
      </c>
      <c r="Z133" s="17">
        <v>0.05</v>
      </c>
      <c r="AA133" s="18" t="b">
        <f>FALSE()</f>
        <v>0</v>
      </c>
      <c r="AB133" s="18" t="s">
        <v>126</v>
      </c>
      <c r="AC133" s="19">
        <v>0.214</v>
      </c>
      <c r="AD133" s="19">
        <v>0</v>
      </c>
      <c r="AE133" s="19">
        <v>0</v>
      </c>
      <c r="AF133" s="19">
        <v>9.5000000000000001E-2</v>
      </c>
      <c r="AG133" s="19">
        <v>0</v>
      </c>
      <c r="AH133" s="19">
        <v>0</v>
      </c>
      <c r="AI133" s="19">
        <v>0.64300000000000002</v>
      </c>
      <c r="AJ133" s="19">
        <v>4.8000000000000001E-2</v>
      </c>
      <c r="AK133" s="18" t="s">
        <v>299</v>
      </c>
      <c r="BF133" t="s">
        <v>99</v>
      </c>
      <c r="BH133" t="s">
        <v>100</v>
      </c>
      <c r="BI133" t="s">
        <v>101</v>
      </c>
    </row>
    <row r="134" spans="1:62" s="30" customFormat="1" ht="30" customHeight="1" x14ac:dyDescent="0.15">
      <c r="A134" s="20" t="s">
        <v>943</v>
      </c>
      <c r="B134" s="21" t="s">
        <v>944</v>
      </c>
      <c r="C134" s="27">
        <v>2008</v>
      </c>
      <c r="D134" s="21" t="s">
        <v>945</v>
      </c>
      <c r="E134" s="21" t="s">
        <v>788</v>
      </c>
      <c r="F134" s="21" t="s">
        <v>90</v>
      </c>
      <c r="G134" s="21" t="s">
        <v>90</v>
      </c>
      <c r="H134" s="21" t="s">
        <v>91</v>
      </c>
      <c r="I134" s="21"/>
      <c r="J134" s="21" t="s">
        <v>946</v>
      </c>
      <c r="K134" s="21" t="s">
        <v>295</v>
      </c>
      <c r="L134" s="21"/>
      <c r="M134" s="23" t="s">
        <v>947</v>
      </c>
      <c r="N134" s="21" t="s">
        <v>95</v>
      </c>
      <c r="O134" s="21" t="s">
        <v>948</v>
      </c>
      <c r="P134" s="21"/>
      <c r="Q134" s="21"/>
      <c r="R134" s="21"/>
      <c r="S134" s="21">
        <v>2</v>
      </c>
      <c r="T134" s="21"/>
      <c r="U134" s="21"/>
      <c r="V134" s="14" t="s">
        <v>97</v>
      </c>
      <c r="W134" s="17">
        <v>0.1</v>
      </c>
      <c r="X134" s="17">
        <v>0.1</v>
      </c>
      <c r="Y134" s="17">
        <v>0.1</v>
      </c>
      <c r="Z134" s="17">
        <v>0.35</v>
      </c>
      <c r="AA134" s="18" t="b">
        <f>FALSE()</f>
        <v>0</v>
      </c>
      <c r="AB134" s="18" t="s">
        <v>98</v>
      </c>
      <c r="AC134" s="19">
        <v>0.125</v>
      </c>
      <c r="AD134" s="19">
        <v>0.05</v>
      </c>
      <c r="AE134" s="19">
        <v>0.05</v>
      </c>
      <c r="AF134" s="19">
        <v>0.05</v>
      </c>
      <c r="AG134" s="19">
        <v>0.05</v>
      </c>
      <c r="AH134" s="19">
        <v>0.05</v>
      </c>
      <c r="AI134" s="19">
        <v>0.57499999999999996</v>
      </c>
      <c r="AJ134" s="19">
        <v>0.05</v>
      </c>
      <c r="AK134" s="18" t="s">
        <v>299</v>
      </c>
      <c r="BF134" s="30" t="s">
        <v>99</v>
      </c>
      <c r="BH134" s="30" t="s">
        <v>100</v>
      </c>
      <c r="BI134" s="30" t="s">
        <v>101</v>
      </c>
    </row>
    <row r="135" spans="1:62" ht="30" customHeight="1" x14ac:dyDescent="0.2">
      <c r="A135" s="25" t="s">
        <v>2094</v>
      </c>
      <c r="B135" s="25" t="s">
        <v>599</v>
      </c>
      <c r="C135" s="25">
        <v>2012</v>
      </c>
      <c r="D135" s="25" t="s">
        <v>2012</v>
      </c>
      <c r="E135" s="25" t="s">
        <v>2086</v>
      </c>
      <c r="F135" s="14" t="s">
        <v>588</v>
      </c>
      <c r="G135" s="25" t="s">
        <v>261</v>
      </c>
      <c r="H135" s="25" t="s">
        <v>91</v>
      </c>
      <c r="I135" s="26" t="s">
        <v>2088</v>
      </c>
      <c r="J135" s="14" t="s">
        <v>589</v>
      </c>
      <c r="K135" s="14" t="s">
        <v>590</v>
      </c>
      <c r="L135" s="25" t="s">
        <v>2089</v>
      </c>
      <c r="M135" s="25" t="s">
        <v>2090</v>
      </c>
      <c r="N135" s="14" t="s">
        <v>199</v>
      </c>
      <c r="O135" s="14" t="s">
        <v>2091</v>
      </c>
      <c r="P135" s="25"/>
      <c r="Q135" s="25"/>
      <c r="R135" s="25" t="s">
        <v>2105</v>
      </c>
      <c r="S135" s="25"/>
      <c r="T135" s="25" t="s">
        <v>2092</v>
      </c>
      <c r="U135" s="26" t="s">
        <v>2087</v>
      </c>
      <c r="V135" s="25"/>
      <c r="AA135" s="18" t="b">
        <f>TRUE()</f>
        <v>1</v>
      </c>
      <c r="AB135" s="18" t="s">
        <v>246</v>
      </c>
      <c r="AK135" s="18" t="s">
        <v>342</v>
      </c>
      <c r="AL135">
        <v>0.67</v>
      </c>
      <c r="AM135">
        <f>(0.71+0.57)/2</f>
        <v>0.6399999999999999</v>
      </c>
      <c r="AN135">
        <f>(AW135+AZ135+BC135)/3</f>
        <v>0.38999999999999996</v>
      </c>
      <c r="AO135">
        <f>(AX135+BA135+BD135)/3</f>
        <v>0.44333333333333336</v>
      </c>
      <c r="AP135">
        <f>(AY135+BB135+BE135)/3</f>
        <v>0.55666666666666664</v>
      </c>
      <c r="AS135" s="86" t="s">
        <v>342</v>
      </c>
      <c r="AT135" s="86" t="s">
        <v>2104</v>
      </c>
      <c r="AV135" s="86" t="s">
        <v>2103</v>
      </c>
      <c r="AW135">
        <v>0.5</v>
      </c>
      <c r="AX135">
        <v>0.33</v>
      </c>
      <c r="AY135">
        <v>0.67</v>
      </c>
      <c r="AZ135">
        <v>0.17</v>
      </c>
      <c r="BA135">
        <v>0.33</v>
      </c>
      <c r="BB135">
        <f>1/2</f>
        <v>0.5</v>
      </c>
      <c r="BC135">
        <v>0.5</v>
      </c>
      <c r="BD135">
        <v>0.67</v>
      </c>
      <c r="BE135">
        <f>1/2</f>
        <v>0.5</v>
      </c>
    </row>
    <row r="136" spans="1:62" ht="30" customHeight="1" x14ac:dyDescent="0.2">
      <c r="A136" s="25" t="s">
        <v>957</v>
      </c>
      <c r="B136" s="25" t="s">
        <v>958</v>
      </c>
      <c r="C136" s="25">
        <v>2009</v>
      </c>
      <c r="D136" s="25" t="s">
        <v>959</v>
      </c>
      <c r="E136" s="14" t="s">
        <v>788</v>
      </c>
      <c r="F136" s="25" t="s">
        <v>843</v>
      </c>
      <c r="G136" s="14" t="s">
        <v>224</v>
      </c>
      <c r="H136" s="14" t="s">
        <v>121</v>
      </c>
      <c r="I136" s="14"/>
      <c r="J136" s="25"/>
      <c r="K136" s="14" t="s">
        <v>295</v>
      </c>
      <c r="L136" s="14"/>
      <c r="M136" s="25"/>
      <c r="N136" s="14" t="s">
        <v>906</v>
      </c>
      <c r="O136" s="25"/>
      <c r="P136" s="25"/>
      <c r="Q136" s="25"/>
      <c r="R136" s="25"/>
      <c r="S136" s="14">
        <v>1</v>
      </c>
      <c r="T136" s="25" t="s">
        <v>907</v>
      </c>
      <c r="U136" s="25"/>
      <c r="V136" s="25"/>
      <c r="W136" s="17">
        <v>0.57999999999999996</v>
      </c>
      <c r="X136" s="17">
        <v>0.53</v>
      </c>
      <c r="Y136" s="17">
        <v>0.47</v>
      </c>
      <c r="Z136" s="17">
        <v>0.15</v>
      </c>
      <c r="AA136" s="18" t="b">
        <f>FALSE()</f>
        <v>0</v>
      </c>
      <c r="AB136" s="18" t="s">
        <v>126</v>
      </c>
      <c r="AC136" s="19">
        <v>7.9000000000000001E-2</v>
      </c>
      <c r="AD136" s="19">
        <v>0</v>
      </c>
      <c r="AE136" s="19">
        <v>5.2999999999999999E-2</v>
      </c>
      <c r="AF136" s="19">
        <v>0</v>
      </c>
      <c r="AG136" s="19">
        <v>0</v>
      </c>
      <c r="AH136" s="19">
        <v>0.105</v>
      </c>
      <c r="AI136" s="19">
        <v>0.76300000000000001</v>
      </c>
      <c r="AJ136" s="19">
        <v>0</v>
      </c>
      <c r="AK136" s="18" t="s">
        <v>299</v>
      </c>
      <c r="BF136" t="s">
        <v>99</v>
      </c>
      <c r="BH136" t="s">
        <v>100</v>
      </c>
      <c r="BI136" t="s">
        <v>101</v>
      </c>
    </row>
    <row r="137" spans="1:62" ht="30" customHeight="1" x14ac:dyDescent="0.2">
      <c r="A137" s="25" t="s">
        <v>960</v>
      </c>
      <c r="B137" s="25" t="s">
        <v>961</v>
      </c>
      <c r="C137" s="25">
        <v>2009</v>
      </c>
      <c r="D137" s="25" t="s">
        <v>962</v>
      </c>
      <c r="E137" s="14" t="s">
        <v>788</v>
      </c>
      <c r="F137" s="25" t="s">
        <v>843</v>
      </c>
      <c r="G137" s="14" t="s">
        <v>224</v>
      </c>
      <c r="H137" s="14" t="s">
        <v>121</v>
      </c>
      <c r="I137" s="14"/>
      <c r="J137" s="25"/>
      <c r="K137" s="14" t="s">
        <v>295</v>
      </c>
      <c r="L137" s="14"/>
      <c r="M137" s="25"/>
      <c r="N137" s="14" t="s">
        <v>906</v>
      </c>
      <c r="O137" s="25"/>
      <c r="P137" s="25"/>
      <c r="Q137" s="25"/>
      <c r="R137" s="25"/>
      <c r="S137" s="14">
        <v>1</v>
      </c>
      <c r="T137" s="25" t="s">
        <v>963</v>
      </c>
      <c r="U137" s="25"/>
      <c r="V137" s="25"/>
      <c r="W137" s="17">
        <v>0.57999999999999996</v>
      </c>
      <c r="X137" s="17">
        <v>0.53</v>
      </c>
      <c r="Y137" s="17">
        <v>0.47</v>
      </c>
      <c r="Z137" s="17">
        <v>0.15</v>
      </c>
      <c r="AA137" s="18" t="b">
        <f>FALSE()</f>
        <v>0</v>
      </c>
      <c r="AB137" s="18" t="s">
        <v>126</v>
      </c>
      <c r="AC137" s="19">
        <v>7.9000000000000001E-2</v>
      </c>
      <c r="AD137" s="19">
        <v>0</v>
      </c>
      <c r="AE137" s="19">
        <v>5.2999999999999999E-2</v>
      </c>
      <c r="AF137" s="19">
        <v>0</v>
      </c>
      <c r="AG137" s="19">
        <v>0</v>
      </c>
      <c r="AH137" s="19">
        <v>0.105</v>
      </c>
      <c r="AI137" s="19">
        <v>0.76300000000000001</v>
      </c>
      <c r="AJ137" s="19">
        <v>0</v>
      </c>
      <c r="AK137" s="18" t="s">
        <v>299</v>
      </c>
      <c r="BF137" t="s">
        <v>99</v>
      </c>
      <c r="BH137" t="s">
        <v>100</v>
      </c>
      <c r="BI137" t="s">
        <v>101</v>
      </c>
    </row>
    <row r="138" spans="1:62" ht="30" customHeight="1" x14ac:dyDescent="0.2">
      <c r="A138" s="20" t="s">
        <v>964</v>
      </c>
      <c r="B138" s="21" t="s">
        <v>965</v>
      </c>
      <c r="C138" s="31">
        <v>2009</v>
      </c>
      <c r="D138" s="21" t="s">
        <v>966</v>
      </c>
      <c r="E138" s="21" t="s">
        <v>788</v>
      </c>
      <c r="F138" s="21" t="s">
        <v>789</v>
      </c>
      <c r="G138" s="21" t="s">
        <v>131</v>
      </c>
      <c r="H138" s="31"/>
      <c r="I138" s="31"/>
      <c r="J138" s="31"/>
      <c r="K138" s="31" t="s">
        <v>333</v>
      </c>
      <c r="L138" s="31"/>
      <c r="M138" s="23" t="s">
        <v>967</v>
      </c>
      <c r="N138" s="21" t="s">
        <v>297</v>
      </c>
      <c r="O138" s="21" t="s">
        <v>968</v>
      </c>
      <c r="P138" s="31"/>
      <c r="Q138" s="31" t="s">
        <v>2125</v>
      </c>
      <c r="R138" s="31"/>
      <c r="S138" s="21">
        <v>3</v>
      </c>
      <c r="T138" s="21" t="s">
        <v>969</v>
      </c>
      <c r="U138" s="21"/>
      <c r="V138" s="21" t="s">
        <v>824</v>
      </c>
      <c r="W138" s="32">
        <v>0.2</v>
      </c>
      <c r="X138" s="32">
        <v>0.15</v>
      </c>
      <c r="Y138" s="32">
        <v>0.65</v>
      </c>
      <c r="Z138" s="32">
        <v>0.2</v>
      </c>
      <c r="AA138" s="33" t="b">
        <f>FALSE()</f>
        <v>0</v>
      </c>
      <c r="AB138" s="33" t="s">
        <v>98</v>
      </c>
      <c r="AC138" s="34">
        <v>0.214</v>
      </c>
      <c r="AD138" s="34">
        <v>7.0999999999999994E-2</v>
      </c>
      <c r="AE138" s="34">
        <v>7.0999999999999994E-2</v>
      </c>
      <c r="AF138" s="34">
        <v>0.16700000000000001</v>
      </c>
      <c r="AG138" s="34">
        <v>7.0999999999999994E-2</v>
      </c>
      <c r="AH138" s="34">
        <v>7.0999999999999994E-2</v>
      </c>
      <c r="AI138" s="34">
        <v>0.214</v>
      </c>
      <c r="AJ138" s="34">
        <v>0.11899999999999999</v>
      </c>
      <c r="AK138" s="33" t="s">
        <v>333</v>
      </c>
      <c r="BF138" t="s">
        <v>99</v>
      </c>
      <c r="BH138" t="s">
        <v>100</v>
      </c>
      <c r="BI138" t="s">
        <v>101</v>
      </c>
    </row>
    <row r="139" spans="1:62" ht="30" customHeight="1" x14ac:dyDescent="0.2">
      <c r="A139" s="25" t="s">
        <v>2011</v>
      </c>
      <c r="B139" s="25" t="s">
        <v>599</v>
      </c>
      <c r="C139" s="25">
        <v>2012</v>
      </c>
      <c r="D139" s="25" t="s">
        <v>2012</v>
      </c>
      <c r="E139" s="25" t="s">
        <v>2086</v>
      </c>
      <c r="F139" s="14" t="s">
        <v>588</v>
      </c>
      <c r="G139" s="25" t="s">
        <v>261</v>
      </c>
      <c r="H139" s="25" t="s">
        <v>91</v>
      </c>
      <c r="I139" s="26" t="s">
        <v>2088</v>
      </c>
      <c r="J139" s="14" t="s">
        <v>589</v>
      </c>
      <c r="K139" s="14" t="s">
        <v>590</v>
      </c>
      <c r="L139" s="25" t="s">
        <v>2089</v>
      </c>
      <c r="M139" s="25" t="s">
        <v>2090</v>
      </c>
      <c r="N139" s="14" t="s">
        <v>199</v>
      </c>
      <c r="O139" s="14" t="s">
        <v>2091</v>
      </c>
      <c r="P139" s="25"/>
      <c r="Q139" s="25" t="s">
        <v>2105</v>
      </c>
      <c r="R139" s="25" t="s">
        <v>722</v>
      </c>
      <c r="S139" s="25"/>
      <c r="T139" s="25" t="s">
        <v>2092</v>
      </c>
      <c r="U139" s="26" t="s">
        <v>2087</v>
      </c>
      <c r="V139" s="25"/>
      <c r="AA139" s="18" t="b">
        <f>TRUE()</f>
        <v>1</v>
      </c>
      <c r="AB139" s="18" t="s">
        <v>246</v>
      </c>
      <c r="AK139" s="18" t="s">
        <v>342</v>
      </c>
      <c r="AL139">
        <v>0.67</v>
      </c>
      <c r="AN139">
        <v>0</v>
      </c>
      <c r="AO139">
        <v>0</v>
      </c>
      <c r="AP139">
        <v>0</v>
      </c>
      <c r="AS139" s="86" t="s">
        <v>342</v>
      </c>
      <c r="AT139" s="86" t="s">
        <v>2095</v>
      </c>
    </row>
    <row r="140" spans="1:62" ht="30" customHeight="1" x14ac:dyDescent="0.2">
      <c r="A140" s="25" t="s">
        <v>1236</v>
      </c>
      <c r="B140" s="25" t="s">
        <v>1237</v>
      </c>
      <c r="C140" s="25">
        <v>2013</v>
      </c>
      <c r="D140" s="25" t="s">
        <v>1238</v>
      </c>
      <c r="E140" s="14" t="s">
        <v>788</v>
      </c>
      <c r="F140" s="14" t="s">
        <v>789</v>
      </c>
      <c r="G140" s="14" t="s">
        <v>240</v>
      </c>
      <c r="H140" s="14" t="s">
        <v>91</v>
      </c>
      <c r="I140" s="14"/>
      <c r="J140" s="14" t="s">
        <v>790</v>
      </c>
      <c r="K140" s="14" t="s">
        <v>295</v>
      </c>
      <c r="L140" s="14"/>
      <c r="M140" s="16" t="s">
        <v>1239</v>
      </c>
      <c r="N140" s="14" t="s">
        <v>297</v>
      </c>
      <c r="O140" s="14" t="s">
        <v>1240</v>
      </c>
      <c r="P140" s="14" t="s">
        <v>1241</v>
      </c>
      <c r="Q140" s="14" t="s">
        <v>901</v>
      </c>
      <c r="R140" s="14"/>
      <c r="S140" s="14">
        <v>3</v>
      </c>
      <c r="T140" s="26" t="s">
        <v>1242</v>
      </c>
      <c r="U140" s="26"/>
      <c r="V140" s="14" t="s">
        <v>1243</v>
      </c>
      <c r="W140" s="17">
        <v>0.2</v>
      </c>
      <c r="X140" s="17">
        <v>0.15</v>
      </c>
      <c r="Y140" s="17">
        <v>0.65</v>
      </c>
      <c r="Z140" s="17">
        <v>0.05</v>
      </c>
      <c r="AA140" s="18" t="b">
        <f>TRUE()</f>
        <v>1</v>
      </c>
      <c r="AB140" s="18" t="s">
        <v>246</v>
      </c>
      <c r="AC140" s="19">
        <v>0.214</v>
      </c>
      <c r="AD140" s="19">
        <v>0</v>
      </c>
      <c r="AE140" s="19">
        <v>0</v>
      </c>
      <c r="AF140" s="19">
        <v>9.5000000000000001E-2</v>
      </c>
      <c r="AG140" s="19">
        <v>0</v>
      </c>
      <c r="AH140" s="19">
        <v>0</v>
      </c>
      <c r="AI140" s="19">
        <v>0.64300000000000002</v>
      </c>
      <c r="AJ140" s="19">
        <v>4.8000000000000001E-2</v>
      </c>
      <c r="AK140" s="18" t="s">
        <v>299</v>
      </c>
      <c r="AL140">
        <v>0.17</v>
      </c>
      <c r="AM140">
        <v>0</v>
      </c>
      <c r="AN140">
        <v>0.33</v>
      </c>
      <c r="AO140">
        <v>0.83</v>
      </c>
      <c r="AP140">
        <v>0.83</v>
      </c>
      <c r="AQ140">
        <v>0.33</v>
      </c>
      <c r="AR140">
        <v>0.56999999999999995</v>
      </c>
      <c r="BF140" t="s">
        <v>247</v>
      </c>
      <c r="BG140" t="s">
        <v>265</v>
      </c>
      <c r="BH140" t="s">
        <v>249</v>
      </c>
      <c r="BI140" t="s">
        <v>1244</v>
      </c>
      <c r="BJ140">
        <v>0</v>
      </c>
    </row>
    <row r="141" spans="1:62" ht="48" customHeight="1" x14ac:dyDescent="0.2">
      <c r="A141" s="25" t="s">
        <v>985</v>
      </c>
      <c r="B141" s="25" t="s">
        <v>986</v>
      </c>
      <c r="C141" s="25">
        <v>1999</v>
      </c>
      <c r="D141" s="25" t="s">
        <v>987</v>
      </c>
      <c r="E141" s="21" t="s">
        <v>737</v>
      </c>
      <c r="F141" s="21" t="s">
        <v>590</v>
      </c>
      <c r="G141" s="21" t="s">
        <v>224</v>
      </c>
      <c r="H141" s="21" t="s">
        <v>121</v>
      </c>
      <c r="I141" s="21"/>
      <c r="J141" s="21" t="s">
        <v>988</v>
      </c>
      <c r="K141" s="21" t="s">
        <v>590</v>
      </c>
      <c r="L141" s="21"/>
      <c r="M141" s="23" t="s">
        <v>989</v>
      </c>
      <c r="N141" s="21" t="s">
        <v>111</v>
      </c>
      <c r="O141" s="21" t="s">
        <v>244</v>
      </c>
      <c r="P141" s="21" t="s">
        <v>990</v>
      </c>
      <c r="Q141" s="21" t="s">
        <v>2045</v>
      </c>
      <c r="R141" s="21"/>
      <c r="S141" s="21">
        <v>3</v>
      </c>
      <c r="T141" s="25" t="s">
        <v>991</v>
      </c>
      <c r="U141" s="25"/>
      <c r="V141" s="25"/>
      <c r="W141" s="17">
        <v>0.9</v>
      </c>
      <c r="X141" s="17">
        <v>0.82</v>
      </c>
      <c r="Y141" s="17">
        <v>0.45</v>
      </c>
      <c r="Z141" s="17">
        <v>1</v>
      </c>
      <c r="AA141" s="18" t="b">
        <f>FALSE()</f>
        <v>0</v>
      </c>
      <c r="AB141" s="18" t="s">
        <v>126</v>
      </c>
      <c r="AC141" s="19">
        <v>0</v>
      </c>
      <c r="AD141" s="19">
        <v>0</v>
      </c>
      <c r="AE141" s="19">
        <v>0.81399999999999995</v>
      </c>
      <c r="AF141" s="19">
        <v>0.186</v>
      </c>
      <c r="AG141" s="19">
        <v>0</v>
      </c>
      <c r="AH141" s="19">
        <v>0</v>
      </c>
      <c r="AI141" s="19">
        <v>0</v>
      </c>
      <c r="AJ141" s="19">
        <v>0</v>
      </c>
      <c r="AK141" s="18" t="s">
        <v>342</v>
      </c>
      <c r="BF141" t="s">
        <v>99</v>
      </c>
      <c r="BH141" t="s">
        <v>100</v>
      </c>
      <c r="BI141" t="s">
        <v>101</v>
      </c>
    </row>
    <row r="142" spans="1:62" ht="30" customHeight="1" x14ac:dyDescent="0.2">
      <c r="A142" s="13" t="s">
        <v>992</v>
      </c>
      <c r="B142" s="14" t="s">
        <v>993</v>
      </c>
      <c r="C142" s="24">
        <v>2006</v>
      </c>
      <c r="D142" s="14" t="s">
        <v>994</v>
      </c>
      <c r="E142" s="14" t="s">
        <v>89</v>
      </c>
      <c r="F142" s="14" t="s">
        <v>106</v>
      </c>
      <c r="G142" s="14" t="s">
        <v>107</v>
      </c>
      <c r="H142" s="14" t="s">
        <v>108</v>
      </c>
      <c r="I142" s="14"/>
      <c r="J142" s="14" t="s">
        <v>995</v>
      </c>
      <c r="K142" s="14" t="s">
        <v>93</v>
      </c>
      <c r="L142" s="14"/>
      <c r="M142" s="16" t="s">
        <v>996</v>
      </c>
      <c r="N142" s="14" t="s">
        <v>111</v>
      </c>
      <c r="O142" s="14" t="s">
        <v>997</v>
      </c>
      <c r="P142" s="14" t="s">
        <v>998</v>
      </c>
      <c r="Q142" s="14" t="s">
        <v>901</v>
      </c>
      <c r="R142" s="14"/>
      <c r="S142" s="14">
        <v>4</v>
      </c>
      <c r="T142" s="14"/>
      <c r="U142" s="14"/>
      <c r="V142" s="14" t="s">
        <v>902</v>
      </c>
      <c r="W142" s="17">
        <v>0.3</v>
      </c>
      <c r="X142" s="17">
        <v>0.4</v>
      </c>
      <c r="Y142" s="17">
        <v>0.65</v>
      </c>
      <c r="Z142" s="17">
        <v>0.55000000000000004</v>
      </c>
      <c r="AA142" s="18" t="b">
        <f>FALSE()</f>
        <v>0</v>
      </c>
      <c r="AB142" s="18" t="s">
        <v>98</v>
      </c>
      <c r="AC142" s="19">
        <v>0.312</v>
      </c>
      <c r="AD142" s="19">
        <v>0.625</v>
      </c>
      <c r="AE142" s="19">
        <v>0</v>
      </c>
      <c r="AF142" s="19">
        <v>6.2E-2</v>
      </c>
      <c r="AG142" s="19">
        <v>0</v>
      </c>
      <c r="AH142" s="19">
        <v>0</v>
      </c>
      <c r="AI142" s="19">
        <v>0</v>
      </c>
      <c r="AJ142" s="19">
        <v>0</v>
      </c>
      <c r="AK142" s="18" t="s">
        <v>89</v>
      </c>
      <c r="BF142" t="s">
        <v>99</v>
      </c>
      <c r="BH142" t="s">
        <v>100</v>
      </c>
      <c r="BI142" t="s">
        <v>101</v>
      </c>
    </row>
    <row r="143" spans="1:62" ht="30" customHeight="1" x14ac:dyDescent="0.2">
      <c r="A143" s="13" t="s">
        <v>999</v>
      </c>
      <c r="B143" s="14" t="s">
        <v>1000</v>
      </c>
      <c r="C143" s="24">
        <v>2020</v>
      </c>
      <c r="D143" s="14" t="s">
        <v>1001</v>
      </c>
      <c r="E143" s="14" t="s">
        <v>89</v>
      </c>
      <c r="F143" s="14" t="s">
        <v>106</v>
      </c>
      <c r="G143" s="14" t="s">
        <v>131</v>
      </c>
      <c r="H143" s="14" t="s">
        <v>108</v>
      </c>
      <c r="I143" s="14"/>
      <c r="J143" s="14" t="s">
        <v>1002</v>
      </c>
      <c r="K143" s="14" t="s">
        <v>93</v>
      </c>
      <c r="L143" s="14"/>
      <c r="M143" s="16" t="s">
        <v>1003</v>
      </c>
      <c r="N143" s="14" t="s">
        <v>111</v>
      </c>
      <c r="O143" s="14" t="s">
        <v>1004</v>
      </c>
      <c r="P143" s="14" t="s">
        <v>1005</v>
      </c>
      <c r="Q143" s="14" t="s">
        <v>901</v>
      </c>
      <c r="R143" s="14"/>
      <c r="S143" s="14">
        <v>4</v>
      </c>
      <c r="T143" s="14"/>
      <c r="U143" s="14"/>
      <c r="V143" s="14" t="s">
        <v>1006</v>
      </c>
      <c r="W143" s="17">
        <v>0.3</v>
      </c>
      <c r="X143" s="17">
        <v>0.4</v>
      </c>
      <c r="Y143" s="17">
        <v>0.65</v>
      </c>
      <c r="Z143" s="17">
        <v>0.55000000000000004</v>
      </c>
      <c r="AA143" s="18" t="b">
        <f>FALSE()</f>
        <v>0</v>
      </c>
      <c r="AB143" s="18" t="s">
        <v>98</v>
      </c>
      <c r="AC143" s="19">
        <v>0.312</v>
      </c>
      <c r="AD143" s="19">
        <v>0.625</v>
      </c>
      <c r="AE143" s="19">
        <v>0</v>
      </c>
      <c r="AF143" s="19">
        <v>6.2E-2</v>
      </c>
      <c r="AG143" s="19">
        <v>0</v>
      </c>
      <c r="AH143" s="19">
        <v>0</v>
      </c>
      <c r="AI143" s="19">
        <v>0</v>
      </c>
      <c r="AJ143" s="19">
        <v>0</v>
      </c>
      <c r="AK143" s="18" t="s">
        <v>89</v>
      </c>
      <c r="BF143" t="s">
        <v>99</v>
      </c>
      <c r="BH143" t="s">
        <v>100</v>
      </c>
      <c r="BI143" t="s">
        <v>101</v>
      </c>
    </row>
    <row r="144" spans="1:62" ht="30" customHeight="1" x14ac:dyDescent="0.2">
      <c r="A144" s="20" t="s">
        <v>1007</v>
      </c>
      <c r="B144" s="21" t="s">
        <v>1008</v>
      </c>
      <c r="C144" s="27">
        <v>2017</v>
      </c>
      <c r="D144" s="21" t="s">
        <v>1009</v>
      </c>
      <c r="E144" s="21" t="s">
        <v>89</v>
      </c>
      <c r="F144" s="21" t="s">
        <v>106</v>
      </c>
      <c r="G144" s="21" t="s">
        <v>131</v>
      </c>
      <c r="H144" s="21" t="s">
        <v>108</v>
      </c>
      <c r="I144" s="21"/>
      <c r="J144" s="21" t="s">
        <v>1010</v>
      </c>
      <c r="K144" s="21" t="s">
        <v>93</v>
      </c>
      <c r="L144" s="21"/>
      <c r="M144" s="23" t="s">
        <v>1011</v>
      </c>
      <c r="N144" s="21" t="s">
        <v>111</v>
      </c>
      <c r="O144" s="21" t="s">
        <v>1004</v>
      </c>
      <c r="P144" s="21" t="s">
        <v>1012</v>
      </c>
      <c r="Q144" s="21" t="s">
        <v>1013</v>
      </c>
      <c r="R144" s="21"/>
      <c r="S144" s="21">
        <v>4</v>
      </c>
      <c r="T144" s="21"/>
      <c r="U144" s="21"/>
      <c r="V144" s="21" t="s">
        <v>902</v>
      </c>
      <c r="W144" s="17">
        <v>0.3</v>
      </c>
      <c r="X144" s="17">
        <v>0.4</v>
      </c>
      <c r="Y144" s="17">
        <v>0.65</v>
      </c>
      <c r="Z144" s="17">
        <v>0.55000000000000004</v>
      </c>
      <c r="AA144" s="18" t="b">
        <f>FALSE()</f>
        <v>0</v>
      </c>
      <c r="AB144" s="18" t="s">
        <v>98</v>
      </c>
      <c r="AC144" s="19">
        <v>0.312</v>
      </c>
      <c r="AD144" s="19">
        <v>0.625</v>
      </c>
      <c r="AE144" s="19">
        <v>0</v>
      </c>
      <c r="AF144" s="19">
        <v>6.2E-2</v>
      </c>
      <c r="AG144" s="19">
        <v>0</v>
      </c>
      <c r="AH144" s="19">
        <v>0</v>
      </c>
      <c r="AI144" s="19">
        <v>0</v>
      </c>
      <c r="AJ144" s="19">
        <v>0</v>
      </c>
      <c r="AK144" s="18" t="s">
        <v>89</v>
      </c>
      <c r="BF144" t="s">
        <v>99</v>
      </c>
      <c r="BH144" t="s">
        <v>100</v>
      </c>
      <c r="BI144" t="s">
        <v>101</v>
      </c>
    </row>
    <row r="145" spans="1:62" ht="30" customHeight="1" x14ac:dyDescent="0.2">
      <c r="A145" s="13" t="s">
        <v>1014</v>
      </c>
      <c r="B145" s="14" t="s">
        <v>1015</v>
      </c>
      <c r="C145" s="24">
        <v>2022</v>
      </c>
      <c r="D145" s="14" t="s">
        <v>1016</v>
      </c>
      <c r="E145" s="14" t="s">
        <v>89</v>
      </c>
      <c r="F145" s="14" t="s">
        <v>90</v>
      </c>
      <c r="G145" s="14" t="s">
        <v>90</v>
      </c>
      <c r="H145" s="14" t="s">
        <v>121</v>
      </c>
      <c r="I145" s="14"/>
      <c r="J145" s="14" t="s">
        <v>1017</v>
      </c>
      <c r="K145" s="14" t="s">
        <v>93</v>
      </c>
      <c r="L145" s="14"/>
      <c r="M145" s="16" t="s">
        <v>1018</v>
      </c>
      <c r="N145" s="14" t="s">
        <v>95</v>
      </c>
      <c r="O145" s="14" t="s">
        <v>1004</v>
      </c>
      <c r="P145" s="14" t="s">
        <v>1019</v>
      </c>
      <c r="Q145" s="14" t="s">
        <v>901</v>
      </c>
      <c r="R145" s="14"/>
      <c r="S145" s="14">
        <v>4</v>
      </c>
      <c r="T145" s="14"/>
      <c r="U145" s="14"/>
      <c r="V145" s="14" t="s">
        <v>902</v>
      </c>
      <c r="W145" s="17">
        <v>0.1</v>
      </c>
      <c r="X145" s="17">
        <v>0.1</v>
      </c>
      <c r="Y145" s="17">
        <v>0.2</v>
      </c>
      <c r="Z145" s="17">
        <v>0.5</v>
      </c>
      <c r="AA145" s="18" t="b">
        <f>FALSE()</f>
        <v>0</v>
      </c>
      <c r="AB145" s="18" t="s">
        <v>98</v>
      </c>
      <c r="AC145" s="19">
        <v>0.23899999999999999</v>
      </c>
      <c r="AD145" s="19">
        <v>0.435</v>
      </c>
      <c r="AE145" s="19">
        <v>4.2999999999999997E-2</v>
      </c>
      <c r="AF145" s="19">
        <v>0.109</v>
      </c>
      <c r="AG145" s="19">
        <v>4.2999999999999997E-2</v>
      </c>
      <c r="AH145" s="19">
        <v>4.2999999999999997E-2</v>
      </c>
      <c r="AI145" s="19">
        <v>4.2999999999999997E-2</v>
      </c>
      <c r="AJ145" s="19">
        <v>4.2999999999999997E-2</v>
      </c>
      <c r="AK145" s="18" t="s">
        <v>89</v>
      </c>
      <c r="BF145" t="s">
        <v>99</v>
      </c>
      <c r="BH145" t="s">
        <v>100</v>
      </c>
      <c r="BI145" t="s">
        <v>101</v>
      </c>
    </row>
    <row r="146" spans="1:62" ht="30" customHeight="1" x14ac:dyDescent="0.2">
      <c r="A146" s="20" t="s">
        <v>1083</v>
      </c>
      <c r="B146" s="21" t="s">
        <v>1084</v>
      </c>
      <c r="C146" s="27">
        <v>1998</v>
      </c>
      <c r="D146" s="21" t="s">
        <v>1085</v>
      </c>
      <c r="E146" s="21" t="s">
        <v>737</v>
      </c>
      <c r="F146" s="21" t="s">
        <v>590</v>
      </c>
      <c r="G146" s="21" t="s">
        <v>224</v>
      </c>
      <c r="H146" s="21" t="s">
        <v>108</v>
      </c>
      <c r="I146" s="21"/>
      <c r="J146" s="21" t="s">
        <v>1086</v>
      </c>
      <c r="K146" s="21" t="s">
        <v>590</v>
      </c>
      <c r="L146" s="21"/>
      <c r="M146" s="23" t="s">
        <v>1087</v>
      </c>
      <c r="N146" s="21" t="s">
        <v>111</v>
      </c>
      <c r="O146" s="21" t="s">
        <v>370</v>
      </c>
      <c r="P146" s="21" t="s">
        <v>1088</v>
      </c>
      <c r="Q146" s="21"/>
      <c r="R146" s="21"/>
      <c r="S146" s="21">
        <v>5</v>
      </c>
      <c r="T146" s="21"/>
      <c r="U146" s="21"/>
      <c r="V146" s="25" t="s">
        <v>1025</v>
      </c>
      <c r="W146" s="17">
        <v>0.9</v>
      </c>
      <c r="X146" s="17">
        <v>0.82</v>
      </c>
      <c r="Y146" s="17">
        <v>0.45</v>
      </c>
      <c r="Z146" s="17">
        <v>1</v>
      </c>
      <c r="AA146" s="18" t="b">
        <f>FALSE()</f>
        <v>0</v>
      </c>
      <c r="AB146" s="18" t="s">
        <v>126</v>
      </c>
      <c r="AC146" s="19">
        <v>0</v>
      </c>
      <c r="AD146" s="19">
        <v>0</v>
      </c>
      <c r="AE146" s="19">
        <v>0.81399999999999995</v>
      </c>
      <c r="AF146" s="19">
        <v>0.186</v>
      </c>
      <c r="AG146" s="19">
        <v>0</v>
      </c>
      <c r="AH146" s="19">
        <v>0</v>
      </c>
      <c r="AI146" s="19">
        <v>0</v>
      </c>
      <c r="AJ146" s="19">
        <v>0</v>
      </c>
      <c r="AK146" s="18" t="s">
        <v>342</v>
      </c>
      <c r="BF146" t="s">
        <v>99</v>
      </c>
      <c r="BH146" t="s">
        <v>100</v>
      </c>
      <c r="BI146" t="s">
        <v>101</v>
      </c>
    </row>
    <row r="147" spans="1:62" ht="30" customHeight="1" x14ac:dyDescent="0.2">
      <c r="A147" s="20" t="s">
        <v>1027</v>
      </c>
      <c r="B147" s="21" t="s">
        <v>1028</v>
      </c>
      <c r="C147" s="22">
        <v>2010</v>
      </c>
      <c r="D147" s="21" t="s">
        <v>1029</v>
      </c>
      <c r="E147" s="21" t="s">
        <v>788</v>
      </c>
      <c r="F147" s="21" t="s">
        <v>828</v>
      </c>
      <c r="G147" s="21" t="s">
        <v>224</v>
      </c>
      <c r="H147" s="21" t="s">
        <v>91</v>
      </c>
      <c r="I147" s="21"/>
      <c r="J147" s="21" t="s">
        <v>132</v>
      </c>
      <c r="K147" s="21" t="s">
        <v>295</v>
      </c>
      <c r="L147" s="21"/>
      <c r="M147" s="25" t="s">
        <v>1030</v>
      </c>
      <c r="N147" s="21" t="s">
        <v>297</v>
      </c>
      <c r="O147" s="21" t="s">
        <v>1031</v>
      </c>
      <c r="P147" s="21"/>
      <c r="Q147" s="21"/>
      <c r="R147" s="21"/>
      <c r="S147" s="21">
        <v>2</v>
      </c>
      <c r="T147" s="25" t="s">
        <v>1032</v>
      </c>
      <c r="U147" s="25"/>
      <c r="V147" s="14" t="s">
        <v>97</v>
      </c>
      <c r="W147" s="17">
        <v>0.4</v>
      </c>
      <c r="X147" s="17">
        <v>0.35</v>
      </c>
      <c r="Y147" s="17">
        <v>0.47</v>
      </c>
      <c r="Z147" s="17">
        <v>0.05</v>
      </c>
      <c r="AA147" s="18" t="b">
        <f>FALSE()</f>
        <v>0</v>
      </c>
      <c r="AB147" s="18" t="s">
        <v>126</v>
      </c>
      <c r="AC147" s="19">
        <v>7.9000000000000001E-2</v>
      </c>
      <c r="AD147" s="19">
        <v>0</v>
      </c>
      <c r="AE147" s="19">
        <v>0</v>
      </c>
      <c r="AF147" s="19">
        <v>0</v>
      </c>
      <c r="AG147" s="19">
        <v>0</v>
      </c>
      <c r="AH147" s="19">
        <v>0</v>
      </c>
      <c r="AI147" s="19">
        <v>0.92100000000000004</v>
      </c>
      <c r="AJ147" s="19">
        <v>0</v>
      </c>
      <c r="AK147" s="18" t="s">
        <v>299</v>
      </c>
      <c r="BF147" t="s">
        <v>99</v>
      </c>
      <c r="BH147" t="s">
        <v>100</v>
      </c>
      <c r="BI147" t="s">
        <v>101</v>
      </c>
    </row>
    <row r="148" spans="1:62" ht="30" customHeight="1" x14ac:dyDescent="0.2">
      <c r="A148" s="13" t="s">
        <v>1033</v>
      </c>
      <c r="B148" s="14" t="s">
        <v>1034</v>
      </c>
      <c r="C148" s="24">
        <v>2010</v>
      </c>
      <c r="D148" s="14" t="s">
        <v>1035</v>
      </c>
      <c r="E148" s="14" t="s">
        <v>788</v>
      </c>
      <c r="F148" s="14" t="s">
        <v>952</v>
      </c>
      <c r="G148" s="14" t="s">
        <v>131</v>
      </c>
      <c r="H148" s="14" t="s">
        <v>91</v>
      </c>
      <c r="I148" s="14"/>
      <c r="J148" s="14" t="s">
        <v>132</v>
      </c>
      <c r="K148" s="14" t="s">
        <v>295</v>
      </c>
      <c r="L148" s="14"/>
      <c r="M148" s="16" t="s">
        <v>1036</v>
      </c>
      <c r="N148" s="14" t="s">
        <v>297</v>
      </c>
      <c r="O148" s="14" t="s">
        <v>464</v>
      </c>
      <c r="P148" s="14"/>
      <c r="Q148" s="14"/>
      <c r="R148" s="14"/>
      <c r="S148" s="14">
        <v>3</v>
      </c>
      <c r="T148" s="14"/>
      <c r="U148" s="14"/>
      <c r="V148" s="14" t="s">
        <v>97</v>
      </c>
      <c r="W148" s="17">
        <v>0.35</v>
      </c>
      <c r="X148" s="17">
        <v>0.3</v>
      </c>
      <c r="Y148" s="17">
        <v>0.38</v>
      </c>
      <c r="Z148" s="17">
        <v>0</v>
      </c>
      <c r="AA148" s="18" t="b">
        <f>FALSE()</f>
        <v>0</v>
      </c>
      <c r="AB148" s="18" t="s">
        <v>98</v>
      </c>
      <c r="AC148" s="19">
        <v>0.184</v>
      </c>
      <c r="AD148" s="19">
        <v>0</v>
      </c>
      <c r="AE148" s="19">
        <v>0</v>
      </c>
      <c r="AF148" s="19">
        <v>0</v>
      </c>
      <c r="AG148" s="19">
        <v>0</v>
      </c>
      <c r="AH148" s="19">
        <v>0</v>
      </c>
      <c r="AI148" s="19">
        <v>0.81599999999999995</v>
      </c>
      <c r="AJ148" s="19">
        <v>0</v>
      </c>
      <c r="AK148" s="18" t="s">
        <v>299</v>
      </c>
      <c r="BF148" t="s">
        <v>99</v>
      </c>
      <c r="BH148" t="s">
        <v>100</v>
      </c>
      <c r="BI148" t="s">
        <v>101</v>
      </c>
    </row>
    <row r="149" spans="1:62" ht="30" customHeight="1" x14ac:dyDescent="0.2">
      <c r="A149" s="20" t="s">
        <v>1037</v>
      </c>
      <c r="B149" s="21" t="s">
        <v>1038</v>
      </c>
      <c r="C149" s="27">
        <v>2010</v>
      </c>
      <c r="D149" s="21" t="s">
        <v>1039</v>
      </c>
      <c r="E149" s="21" t="s">
        <v>788</v>
      </c>
      <c r="F149" s="21" t="s">
        <v>789</v>
      </c>
      <c r="G149" s="21" t="s">
        <v>107</v>
      </c>
      <c r="H149" s="21" t="s">
        <v>108</v>
      </c>
      <c r="I149" s="21"/>
      <c r="J149" s="21" t="s">
        <v>1040</v>
      </c>
      <c r="K149" s="21" t="s">
        <v>295</v>
      </c>
      <c r="L149" s="21"/>
      <c r="M149" s="23" t="s">
        <v>1041</v>
      </c>
      <c r="N149" s="21" t="s">
        <v>297</v>
      </c>
      <c r="O149" s="21" t="s">
        <v>1042</v>
      </c>
      <c r="P149" s="21" t="s">
        <v>1043</v>
      </c>
      <c r="Q149" s="21" t="s">
        <v>901</v>
      </c>
      <c r="R149" s="21"/>
      <c r="S149" s="21">
        <v>2</v>
      </c>
      <c r="T149" s="21"/>
      <c r="U149" s="21"/>
      <c r="V149" s="21" t="s">
        <v>902</v>
      </c>
      <c r="W149" s="17">
        <v>0.2</v>
      </c>
      <c r="X149" s="17">
        <v>0.15</v>
      </c>
      <c r="Y149" s="17">
        <v>0.65</v>
      </c>
      <c r="Z149" s="17">
        <v>0.05</v>
      </c>
      <c r="AA149" s="18" t="b">
        <f>FALSE()</f>
        <v>0</v>
      </c>
      <c r="AB149" s="18" t="s">
        <v>98</v>
      </c>
      <c r="AC149" s="19">
        <v>0.214</v>
      </c>
      <c r="AD149" s="19">
        <v>0</v>
      </c>
      <c r="AE149" s="19">
        <v>0</v>
      </c>
      <c r="AF149" s="19">
        <v>9.5000000000000001E-2</v>
      </c>
      <c r="AG149" s="19">
        <v>0</v>
      </c>
      <c r="AH149" s="19">
        <v>0</v>
      </c>
      <c r="AI149" s="19">
        <v>0.64300000000000002</v>
      </c>
      <c r="AJ149" s="19">
        <v>4.8000000000000001E-2</v>
      </c>
      <c r="AK149" s="18" t="s">
        <v>299</v>
      </c>
      <c r="BF149" t="s">
        <v>99</v>
      </c>
      <c r="BH149" t="s">
        <v>100</v>
      </c>
      <c r="BI149" t="s">
        <v>101</v>
      </c>
    </row>
    <row r="150" spans="1:62" ht="30" customHeight="1" x14ac:dyDescent="0.2">
      <c r="A150" s="20" t="s">
        <v>1044</v>
      </c>
      <c r="B150" s="21" t="s">
        <v>1045</v>
      </c>
      <c r="C150" s="27">
        <v>2017</v>
      </c>
      <c r="D150" s="21" t="s">
        <v>1046</v>
      </c>
      <c r="E150" s="21" t="s">
        <v>89</v>
      </c>
      <c r="F150" s="21" t="s">
        <v>106</v>
      </c>
      <c r="G150" s="21" t="s">
        <v>224</v>
      </c>
      <c r="H150" s="21" t="s">
        <v>108</v>
      </c>
      <c r="I150" s="21"/>
      <c r="J150" s="21" t="s">
        <v>1047</v>
      </c>
      <c r="K150" s="21" t="s">
        <v>93</v>
      </c>
      <c r="L150" s="21"/>
      <c r="M150" s="23" t="s">
        <v>1048</v>
      </c>
      <c r="N150" s="21" t="s">
        <v>297</v>
      </c>
      <c r="O150" s="21" t="s">
        <v>1049</v>
      </c>
      <c r="P150" s="21" t="s">
        <v>1050</v>
      </c>
      <c r="Q150" s="21" t="s">
        <v>901</v>
      </c>
      <c r="R150" s="21"/>
      <c r="S150" s="21">
        <v>4</v>
      </c>
      <c r="T150" s="21"/>
      <c r="U150" s="21"/>
      <c r="V150" s="21" t="s">
        <v>902</v>
      </c>
      <c r="W150" s="17">
        <v>0.3</v>
      </c>
      <c r="X150" s="17">
        <v>0.45</v>
      </c>
      <c r="Y150" s="17">
        <v>0.7</v>
      </c>
      <c r="Z150" s="17">
        <v>0.55000000000000004</v>
      </c>
      <c r="AA150" s="18" t="b">
        <f>FALSE()</f>
        <v>0</v>
      </c>
      <c r="AB150" s="18" t="s">
        <v>126</v>
      </c>
      <c r="AC150" s="19">
        <v>0.312</v>
      </c>
      <c r="AD150" s="19">
        <v>0.625</v>
      </c>
      <c r="AE150" s="19">
        <v>0</v>
      </c>
      <c r="AF150" s="19">
        <v>6.2E-2</v>
      </c>
      <c r="AG150" s="19">
        <v>0</v>
      </c>
      <c r="AH150" s="19">
        <v>0</v>
      </c>
      <c r="AI150" s="19">
        <v>0</v>
      </c>
      <c r="AJ150" s="19">
        <v>0</v>
      </c>
      <c r="AK150" s="18" t="s">
        <v>89</v>
      </c>
      <c r="BF150" t="s">
        <v>99</v>
      </c>
      <c r="BH150" t="s">
        <v>100</v>
      </c>
      <c r="BI150" t="s">
        <v>101</v>
      </c>
    </row>
    <row r="151" spans="1:62" ht="30" customHeight="1" x14ac:dyDescent="0.2">
      <c r="A151" s="13" t="s">
        <v>1051</v>
      </c>
      <c r="B151" s="14" t="s">
        <v>1052</v>
      </c>
      <c r="C151" s="24">
        <v>2011</v>
      </c>
      <c r="D151" s="14" t="s">
        <v>1053</v>
      </c>
      <c r="E151" s="14" t="s">
        <v>788</v>
      </c>
      <c r="F151" s="14" t="s">
        <v>952</v>
      </c>
      <c r="G151" s="14" t="s">
        <v>131</v>
      </c>
      <c r="H151" s="14" t="s">
        <v>91</v>
      </c>
      <c r="I151" s="14"/>
      <c r="J151" s="14" t="s">
        <v>132</v>
      </c>
      <c r="K151" s="14" t="s">
        <v>295</v>
      </c>
      <c r="L151" s="14"/>
      <c r="M151" s="16" t="s">
        <v>1054</v>
      </c>
      <c r="N151" s="14" t="s">
        <v>297</v>
      </c>
      <c r="O151" s="14" t="s">
        <v>257</v>
      </c>
      <c r="P151" s="14"/>
      <c r="Q151" s="14"/>
      <c r="R151" s="14"/>
      <c r="S151" s="14">
        <v>3</v>
      </c>
      <c r="T151" s="14" t="s">
        <v>1055</v>
      </c>
      <c r="U151" s="14"/>
      <c r="V151" s="14" t="s">
        <v>97</v>
      </c>
      <c r="W151" s="17">
        <v>0.35</v>
      </c>
      <c r="X151" s="17">
        <v>0.3</v>
      </c>
      <c r="Y151" s="17">
        <v>0.38</v>
      </c>
      <c r="Z151" s="17">
        <v>0</v>
      </c>
      <c r="AA151" s="18" t="b">
        <f>FALSE()</f>
        <v>0</v>
      </c>
      <c r="AB151" s="18" t="s">
        <v>98</v>
      </c>
      <c r="AC151" s="19">
        <v>0.184</v>
      </c>
      <c r="AD151" s="19">
        <v>0</v>
      </c>
      <c r="AE151" s="19">
        <v>0</v>
      </c>
      <c r="AF151" s="19">
        <v>0</v>
      </c>
      <c r="AG151" s="19">
        <v>0</v>
      </c>
      <c r="AH151" s="19">
        <v>0</v>
      </c>
      <c r="AI151" s="19">
        <v>0.81599999999999995</v>
      </c>
      <c r="AJ151" s="19">
        <v>0</v>
      </c>
      <c r="AK151" s="18" t="s">
        <v>299</v>
      </c>
      <c r="BF151" t="s">
        <v>99</v>
      </c>
      <c r="BH151" t="s">
        <v>100</v>
      </c>
      <c r="BI151" t="s">
        <v>101</v>
      </c>
    </row>
    <row r="152" spans="1:62" ht="30" customHeight="1" x14ac:dyDescent="0.2">
      <c r="A152" s="25" t="s">
        <v>1697</v>
      </c>
      <c r="B152" s="25" t="s">
        <v>714</v>
      </c>
      <c r="C152" s="25">
        <v>1939</v>
      </c>
      <c r="D152" s="25" t="s">
        <v>1698</v>
      </c>
      <c r="E152" s="25" t="s">
        <v>716</v>
      </c>
      <c r="F152" s="25" t="s">
        <v>292</v>
      </c>
      <c r="G152" s="25" t="s">
        <v>329</v>
      </c>
      <c r="H152" s="25" t="s">
        <v>91</v>
      </c>
      <c r="I152" s="25" t="s">
        <v>1699</v>
      </c>
      <c r="J152" s="25" t="s">
        <v>718</v>
      </c>
      <c r="K152" s="25" t="s">
        <v>295</v>
      </c>
      <c r="L152" s="25"/>
      <c r="M152" s="25" t="s">
        <v>1699</v>
      </c>
      <c r="N152" s="25" t="s">
        <v>297</v>
      </c>
      <c r="O152" s="25" t="s">
        <v>721</v>
      </c>
      <c r="P152" s="25"/>
      <c r="Q152" s="25"/>
      <c r="R152" s="25"/>
      <c r="S152" s="25">
        <v>4</v>
      </c>
      <c r="T152" s="25"/>
      <c r="U152" s="25"/>
      <c r="V152" s="25" t="s">
        <v>725</v>
      </c>
      <c r="AK152" t="s">
        <v>299</v>
      </c>
      <c r="AL152">
        <v>0</v>
      </c>
      <c r="AM152">
        <v>0</v>
      </c>
      <c r="AN152">
        <v>0.33</v>
      </c>
      <c r="AO152">
        <v>0.17</v>
      </c>
      <c r="AP152">
        <v>0.5</v>
      </c>
      <c r="AQ152">
        <v>0</v>
      </c>
      <c r="AR152">
        <v>0</v>
      </c>
      <c r="AS152" t="s">
        <v>299</v>
      </c>
      <c r="AT152" t="s">
        <v>1700</v>
      </c>
      <c r="AV152" t="s">
        <v>1701</v>
      </c>
      <c r="BF152" t="s">
        <v>247</v>
      </c>
      <c r="BG152" t="s">
        <v>615</v>
      </c>
      <c r="BH152" s="86" t="s">
        <v>2034</v>
      </c>
      <c r="BI152" t="s">
        <v>1702</v>
      </c>
      <c r="BJ152">
        <v>0</v>
      </c>
    </row>
    <row r="153" spans="1:62" ht="36" customHeight="1" x14ac:dyDescent="0.2">
      <c r="A153" s="25" t="s">
        <v>1282</v>
      </c>
      <c r="B153" s="25" t="s">
        <v>1283</v>
      </c>
      <c r="C153" s="25">
        <v>1998</v>
      </c>
      <c r="D153" s="25" t="s">
        <v>1284</v>
      </c>
      <c r="E153" s="14" t="s">
        <v>231</v>
      </c>
      <c r="F153" s="25" t="s">
        <v>1278</v>
      </c>
      <c r="G153" s="25" t="s">
        <v>131</v>
      </c>
      <c r="H153" s="25" t="s">
        <v>108</v>
      </c>
      <c r="I153" s="25"/>
      <c r="J153" s="25" t="s">
        <v>2063</v>
      </c>
      <c r="K153" s="21" t="s">
        <v>590</v>
      </c>
      <c r="L153" s="25" t="s">
        <v>2067</v>
      </c>
      <c r="M153" s="25" t="s">
        <v>2064</v>
      </c>
      <c r="N153" s="14" t="s">
        <v>199</v>
      </c>
      <c r="O153" s="25" t="s">
        <v>2065</v>
      </c>
      <c r="P153" s="25"/>
      <c r="Q153" s="25" t="s">
        <v>113</v>
      </c>
      <c r="R153" s="25"/>
      <c r="S153" s="14">
        <v>4</v>
      </c>
      <c r="T153" s="26" t="s">
        <v>2068</v>
      </c>
      <c r="U153" s="26" t="s">
        <v>2066</v>
      </c>
      <c r="V153" s="25" t="s">
        <v>1025</v>
      </c>
      <c r="W153" s="17">
        <v>0.72</v>
      </c>
      <c r="X153" s="17">
        <v>0.66</v>
      </c>
      <c r="Y153" s="17">
        <v>0.2</v>
      </c>
      <c r="Z153" s="17">
        <v>0.82</v>
      </c>
      <c r="AA153" s="18" t="b">
        <v>0</v>
      </c>
      <c r="AB153" s="18" t="s">
        <v>126</v>
      </c>
      <c r="AC153" s="19">
        <v>7.9000000000000001E-2</v>
      </c>
      <c r="AD153" s="19">
        <v>7.9000000000000001E-2</v>
      </c>
      <c r="AE153" s="19">
        <v>0.39500000000000002</v>
      </c>
      <c r="AF153" s="19">
        <v>7.9000000000000001E-2</v>
      </c>
      <c r="AG153" s="19">
        <v>7.9000000000000001E-2</v>
      </c>
      <c r="AH153" s="19">
        <v>0.13200000000000001</v>
      </c>
      <c r="AI153" s="19">
        <v>7.9000000000000001E-2</v>
      </c>
      <c r="AJ153" s="19">
        <v>7.9000000000000001E-2</v>
      </c>
      <c r="AK153" s="18" t="s">
        <v>342</v>
      </c>
      <c r="BF153" t="s">
        <v>99</v>
      </c>
      <c r="BH153" t="s">
        <v>334</v>
      </c>
      <c r="BI153" t="s">
        <v>1026</v>
      </c>
    </row>
    <row r="154" spans="1:62" ht="30" customHeight="1" x14ac:dyDescent="0.2">
      <c r="A154" s="25" t="s">
        <v>1739</v>
      </c>
      <c r="B154" s="25" t="s">
        <v>714</v>
      </c>
      <c r="C154" s="25">
        <v>1939</v>
      </c>
      <c r="D154" s="25" t="s">
        <v>1740</v>
      </c>
      <c r="E154" s="25" t="s">
        <v>716</v>
      </c>
      <c r="F154" s="25" t="s">
        <v>292</v>
      </c>
      <c r="G154" s="25" t="s">
        <v>329</v>
      </c>
      <c r="H154" s="25" t="s">
        <v>91</v>
      </c>
      <c r="I154" s="25" t="s">
        <v>1741</v>
      </c>
      <c r="J154" s="25" t="s">
        <v>718</v>
      </c>
      <c r="K154" s="25" t="s">
        <v>295</v>
      </c>
      <c r="L154" s="25"/>
      <c r="M154" s="25" t="s">
        <v>1741</v>
      </c>
      <c r="N154" s="25" t="s">
        <v>297</v>
      </c>
      <c r="O154" s="25" t="s">
        <v>721</v>
      </c>
      <c r="P154" s="25"/>
      <c r="Q154" s="25"/>
      <c r="R154" s="25"/>
      <c r="S154" s="25">
        <v>4</v>
      </c>
      <c r="T154" s="25"/>
      <c r="U154" s="25"/>
      <c r="V154" s="25" t="s">
        <v>725</v>
      </c>
      <c r="AK154" t="s">
        <v>299</v>
      </c>
      <c r="AL154">
        <v>0.33</v>
      </c>
      <c r="AM154">
        <v>0.14000000000000001</v>
      </c>
      <c r="AN154">
        <v>0.33</v>
      </c>
      <c r="AO154">
        <v>0.83</v>
      </c>
      <c r="AP154">
        <v>0.5</v>
      </c>
      <c r="AQ154">
        <v>0.17</v>
      </c>
      <c r="AR154">
        <v>0.14000000000000001</v>
      </c>
      <c r="AS154" t="s">
        <v>299</v>
      </c>
      <c r="AT154" t="s">
        <v>1742</v>
      </c>
      <c r="AV154" t="s">
        <v>1743</v>
      </c>
      <c r="BF154" t="s">
        <v>247</v>
      </c>
      <c r="BG154" t="s">
        <v>615</v>
      </c>
      <c r="BH154" s="86" t="s">
        <v>2034</v>
      </c>
      <c r="BI154" t="s">
        <v>1702</v>
      </c>
      <c r="BJ154">
        <v>0</v>
      </c>
    </row>
    <row r="155" spans="1:62" ht="30" customHeight="1" x14ac:dyDescent="0.2">
      <c r="A155" s="13" t="s">
        <v>1076</v>
      </c>
      <c r="B155" s="14" t="s">
        <v>1077</v>
      </c>
      <c r="C155" s="24">
        <v>2004</v>
      </c>
      <c r="D155" s="14" t="s">
        <v>1078</v>
      </c>
      <c r="E155" s="14" t="s">
        <v>89</v>
      </c>
      <c r="F155" s="14" t="s">
        <v>106</v>
      </c>
      <c r="G155" s="14" t="s">
        <v>131</v>
      </c>
      <c r="H155" s="14" t="s">
        <v>108</v>
      </c>
      <c r="I155" s="14"/>
      <c r="J155" s="14" t="s">
        <v>1079</v>
      </c>
      <c r="K155" s="14" t="s">
        <v>693</v>
      </c>
      <c r="L155" s="14"/>
      <c r="M155" s="16" t="s">
        <v>1080</v>
      </c>
      <c r="N155" s="14" t="s">
        <v>111</v>
      </c>
      <c r="O155" s="14" t="s">
        <v>1081</v>
      </c>
      <c r="P155" s="14" t="s">
        <v>1082</v>
      </c>
      <c r="Q155" s="14" t="s">
        <v>159</v>
      </c>
      <c r="R155" s="14"/>
      <c r="S155" s="14">
        <v>4</v>
      </c>
      <c r="T155" s="14" t="s">
        <v>2164</v>
      </c>
      <c r="U155" s="14"/>
      <c r="V155" s="14" t="s">
        <v>2163</v>
      </c>
      <c r="W155" s="17">
        <v>0.3</v>
      </c>
      <c r="X155" s="17">
        <v>0.4</v>
      </c>
      <c r="Y155" s="17">
        <v>0.65</v>
      </c>
      <c r="Z155" s="17">
        <v>0.6</v>
      </c>
      <c r="AA155" s="18" t="b">
        <f>FALSE()</f>
        <v>0</v>
      </c>
      <c r="AB155" s="18" t="s">
        <v>98</v>
      </c>
      <c r="AC155" s="19">
        <v>0.13300000000000001</v>
      </c>
      <c r="AD155" s="19">
        <v>0.26700000000000002</v>
      </c>
      <c r="AE155" s="19">
        <v>0</v>
      </c>
      <c r="AF155" s="19">
        <v>0.33300000000000002</v>
      </c>
      <c r="AG155" s="19">
        <v>0.2</v>
      </c>
      <c r="AH155" s="19">
        <v>0</v>
      </c>
      <c r="AI155" s="19">
        <v>0</v>
      </c>
      <c r="AJ155" s="19">
        <v>6.7000000000000004E-2</v>
      </c>
      <c r="AK155" s="18" t="s">
        <v>442</v>
      </c>
      <c r="BF155" t="s">
        <v>99</v>
      </c>
      <c r="BH155" t="s">
        <v>100</v>
      </c>
      <c r="BI155" t="s">
        <v>101</v>
      </c>
    </row>
    <row r="156" spans="1:62" ht="30" customHeight="1" x14ac:dyDescent="0.2">
      <c r="A156" s="25" t="s">
        <v>2010</v>
      </c>
      <c r="B156" s="25" t="s">
        <v>2008</v>
      </c>
      <c r="C156" s="25">
        <v>2000</v>
      </c>
      <c r="D156" s="25" t="s">
        <v>2009</v>
      </c>
      <c r="E156" s="14" t="s">
        <v>231</v>
      </c>
      <c r="F156" s="25" t="s">
        <v>1278</v>
      </c>
      <c r="G156" s="25"/>
      <c r="H156" s="25"/>
      <c r="I156" s="25"/>
      <c r="J156" s="25"/>
      <c r="K156" s="25"/>
      <c r="L156" s="25"/>
      <c r="M156" s="25"/>
      <c r="N156" s="25"/>
      <c r="O156" s="25" t="s">
        <v>244</v>
      </c>
      <c r="P156" s="25"/>
      <c r="Q156" s="25"/>
      <c r="R156" s="25"/>
      <c r="S156" s="25"/>
      <c r="T156" s="25"/>
      <c r="U156" s="25"/>
      <c r="V156" s="25"/>
    </row>
    <row r="157" spans="1:62" ht="30" customHeight="1" x14ac:dyDescent="0.2">
      <c r="A157" s="25" t="s">
        <v>1319</v>
      </c>
      <c r="B157" s="21" t="s">
        <v>1320</v>
      </c>
      <c r="C157" s="22">
        <v>2013</v>
      </c>
      <c r="D157" s="21" t="s">
        <v>1321</v>
      </c>
      <c r="E157" s="21" t="s">
        <v>737</v>
      </c>
      <c r="F157" s="21" t="s">
        <v>590</v>
      </c>
      <c r="G157" s="25"/>
      <c r="H157" s="21" t="s">
        <v>108</v>
      </c>
      <c r="I157" s="21"/>
      <c r="J157" s="25"/>
      <c r="K157" s="25"/>
      <c r="L157" s="25"/>
      <c r="M157" s="25"/>
      <c r="N157" s="25"/>
      <c r="O157" s="25"/>
      <c r="P157" s="25"/>
      <c r="Q157" s="25"/>
      <c r="R157" s="25"/>
      <c r="S157" s="25"/>
      <c r="T157" s="25"/>
      <c r="U157" s="25"/>
      <c r="V157" s="25"/>
      <c r="W157" s="17">
        <v>0.82</v>
      </c>
      <c r="X157" s="17">
        <v>0.72</v>
      </c>
      <c r="Y157" s="17">
        <v>0.4</v>
      </c>
      <c r="Z157" s="17">
        <v>0.9</v>
      </c>
      <c r="AA157" s="18" t="b">
        <f>TRUE()</f>
        <v>1</v>
      </c>
      <c r="AB157" s="18" t="s">
        <v>246</v>
      </c>
      <c r="AC157" s="19">
        <v>7.4999999999999997E-2</v>
      </c>
      <c r="AD157" s="19">
        <v>7.4999999999999997E-2</v>
      </c>
      <c r="AE157" s="19">
        <v>0.42499999999999999</v>
      </c>
      <c r="AF157" s="19">
        <v>0.125</v>
      </c>
      <c r="AG157" s="19">
        <v>7.4999999999999997E-2</v>
      </c>
      <c r="AH157" s="19">
        <v>7.4999999999999997E-2</v>
      </c>
      <c r="AI157" s="19">
        <v>7.4999999999999997E-2</v>
      </c>
      <c r="AJ157" s="19">
        <v>7.4999999999999997E-2</v>
      </c>
      <c r="AK157" s="18" t="s">
        <v>342</v>
      </c>
      <c r="BF157" t="s">
        <v>99</v>
      </c>
      <c r="BH157" t="s">
        <v>334</v>
      </c>
      <c r="BI157" t="s">
        <v>1322</v>
      </c>
    </row>
    <row r="158" spans="1:62" ht="30" customHeight="1" x14ac:dyDescent="0.2">
      <c r="A158" s="20" t="s">
        <v>1093</v>
      </c>
      <c r="B158" s="21" t="s">
        <v>1094</v>
      </c>
      <c r="C158" s="27">
        <v>2007</v>
      </c>
      <c r="D158" s="21" t="s">
        <v>1095</v>
      </c>
      <c r="E158" s="21" t="s">
        <v>524</v>
      </c>
      <c r="F158" s="21" t="s">
        <v>644</v>
      </c>
      <c r="G158" s="21" t="s">
        <v>131</v>
      </c>
      <c r="H158" s="21" t="s">
        <v>254</v>
      </c>
      <c r="I158" s="21"/>
      <c r="J158" s="21" t="s">
        <v>1096</v>
      </c>
      <c r="K158" s="21" t="s">
        <v>693</v>
      </c>
      <c r="L158" s="21"/>
      <c r="M158" s="23" t="s">
        <v>1097</v>
      </c>
      <c r="N158" s="21" t="s">
        <v>199</v>
      </c>
      <c r="O158" s="21" t="s">
        <v>1098</v>
      </c>
      <c r="P158" s="21" t="s">
        <v>1099</v>
      </c>
      <c r="Q158" s="21" t="s">
        <v>901</v>
      </c>
      <c r="R158" s="21"/>
      <c r="S158" s="21">
        <v>4</v>
      </c>
      <c r="T158" s="21"/>
      <c r="U158" s="21"/>
      <c r="V158" s="21" t="s">
        <v>902</v>
      </c>
      <c r="W158" s="17">
        <v>0.45</v>
      </c>
      <c r="X158" s="17">
        <v>0.3</v>
      </c>
      <c r="Y158" s="17">
        <v>0.65</v>
      </c>
      <c r="Z158" s="17">
        <v>0.75</v>
      </c>
      <c r="AA158" s="18" t="b">
        <f>FALSE()</f>
        <v>0</v>
      </c>
      <c r="AB158" s="18" t="s">
        <v>98</v>
      </c>
      <c r="AC158" s="19">
        <v>0</v>
      </c>
      <c r="AD158" s="19">
        <v>0</v>
      </c>
      <c r="AE158" s="19">
        <v>0</v>
      </c>
      <c r="AF158" s="19">
        <v>0.378</v>
      </c>
      <c r="AG158" s="19">
        <v>0.33300000000000002</v>
      </c>
      <c r="AH158" s="19">
        <v>0</v>
      </c>
      <c r="AI158" s="19">
        <v>0</v>
      </c>
      <c r="AJ158" s="19">
        <v>0.28899999999999998</v>
      </c>
      <c r="AK158" s="18" t="s">
        <v>442</v>
      </c>
      <c r="BF158" t="s">
        <v>99</v>
      </c>
      <c r="BH158" t="s">
        <v>100</v>
      </c>
      <c r="BI158" t="s">
        <v>101</v>
      </c>
    </row>
    <row r="159" spans="1:62" ht="30" customHeight="1" x14ac:dyDescent="0.2">
      <c r="A159" s="13" t="s">
        <v>1100</v>
      </c>
      <c r="B159" s="14" t="s">
        <v>1101</v>
      </c>
      <c r="C159" s="24">
        <v>2006</v>
      </c>
      <c r="D159" s="14" t="s">
        <v>1102</v>
      </c>
      <c r="E159" s="14" t="s">
        <v>524</v>
      </c>
      <c r="F159" s="14" t="s">
        <v>644</v>
      </c>
      <c r="G159" s="14" t="s">
        <v>107</v>
      </c>
      <c r="H159" s="14" t="s">
        <v>108</v>
      </c>
      <c r="I159" s="14"/>
      <c r="J159" s="14" t="s">
        <v>1103</v>
      </c>
      <c r="K159" s="14" t="s">
        <v>693</v>
      </c>
      <c r="L159" s="14"/>
      <c r="M159" s="16" t="s">
        <v>1104</v>
      </c>
      <c r="N159" s="14" t="s">
        <v>199</v>
      </c>
      <c r="O159" s="14" t="s">
        <v>1105</v>
      </c>
      <c r="P159" s="14" t="s">
        <v>1106</v>
      </c>
      <c r="Q159" s="14" t="s">
        <v>901</v>
      </c>
      <c r="R159" s="14"/>
      <c r="S159" s="14">
        <v>3</v>
      </c>
      <c r="T159" s="14"/>
      <c r="U159" s="14"/>
      <c r="V159" s="14" t="s">
        <v>902</v>
      </c>
      <c r="W159" s="17">
        <v>0.45</v>
      </c>
      <c r="X159" s="17">
        <v>0.3</v>
      </c>
      <c r="Y159" s="17">
        <v>0.65</v>
      </c>
      <c r="Z159" s="17">
        <v>0.75</v>
      </c>
      <c r="AA159" s="18" t="b">
        <f>FALSE()</f>
        <v>0</v>
      </c>
      <c r="AB159" s="18" t="s">
        <v>98</v>
      </c>
      <c r="AC159" s="19">
        <v>0</v>
      </c>
      <c r="AD159" s="19">
        <v>0</v>
      </c>
      <c r="AE159" s="19">
        <v>0</v>
      </c>
      <c r="AF159" s="19">
        <v>0.378</v>
      </c>
      <c r="AG159" s="19">
        <v>0.33300000000000002</v>
      </c>
      <c r="AH159" s="19">
        <v>0</v>
      </c>
      <c r="AI159" s="19">
        <v>0</v>
      </c>
      <c r="AJ159" s="19">
        <v>0.28899999999999998</v>
      </c>
      <c r="AK159" s="18" t="s">
        <v>442</v>
      </c>
      <c r="BF159" t="s">
        <v>99</v>
      </c>
      <c r="BH159" t="s">
        <v>100</v>
      </c>
      <c r="BI159" t="s">
        <v>101</v>
      </c>
    </row>
    <row r="160" spans="1:62" ht="30" customHeight="1" x14ac:dyDescent="0.2">
      <c r="A160" s="13" t="s">
        <v>1107</v>
      </c>
      <c r="B160" s="14" t="s">
        <v>1108</v>
      </c>
      <c r="C160" s="24">
        <v>2010</v>
      </c>
      <c r="D160" s="14" t="s">
        <v>1109</v>
      </c>
      <c r="E160" s="14" t="s">
        <v>737</v>
      </c>
      <c r="F160" s="14" t="s">
        <v>590</v>
      </c>
      <c r="G160" s="14" t="s">
        <v>131</v>
      </c>
      <c r="H160" s="14" t="s">
        <v>91</v>
      </c>
      <c r="I160" s="14"/>
      <c r="J160" s="14" t="s">
        <v>1110</v>
      </c>
      <c r="K160" s="14" t="s">
        <v>590</v>
      </c>
      <c r="L160" s="14"/>
      <c r="M160" s="16" t="s">
        <v>1111</v>
      </c>
      <c r="N160" s="14" t="s">
        <v>111</v>
      </c>
      <c r="O160" s="14" t="s">
        <v>1098</v>
      </c>
      <c r="P160" s="14" t="s">
        <v>1112</v>
      </c>
      <c r="Q160" s="14" t="s">
        <v>901</v>
      </c>
      <c r="R160" s="14"/>
      <c r="S160" s="14">
        <v>4</v>
      </c>
      <c r="T160" s="14"/>
      <c r="U160" s="14"/>
      <c r="V160" s="14" t="s">
        <v>902</v>
      </c>
      <c r="W160" s="17">
        <v>0.9</v>
      </c>
      <c r="X160" s="17">
        <v>0.77</v>
      </c>
      <c r="Y160" s="17">
        <v>0.4</v>
      </c>
      <c r="Z160" s="17">
        <v>1</v>
      </c>
      <c r="AA160" s="18" t="b">
        <f>FALSE()</f>
        <v>0</v>
      </c>
      <c r="AB160" s="18" t="s">
        <v>98</v>
      </c>
      <c r="AC160" s="19">
        <v>0</v>
      </c>
      <c r="AD160" s="19">
        <v>0</v>
      </c>
      <c r="AE160" s="19">
        <v>0.81399999999999995</v>
      </c>
      <c r="AF160" s="19">
        <v>0.186</v>
      </c>
      <c r="AG160" s="19">
        <v>0</v>
      </c>
      <c r="AH160" s="19">
        <v>0</v>
      </c>
      <c r="AI160" s="19">
        <v>0</v>
      </c>
      <c r="AJ160" s="19">
        <v>0</v>
      </c>
      <c r="AK160" s="18" t="s">
        <v>342</v>
      </c>
      <c r="BF160" t="s">
        <v>99</v>
      </c>
      <c r="BH160" t="s">
        <v>100</v>
      </c>
      <c r="BI160" t="s">
        <v>101</v>
      </c>
    </row>
    <row r="161" spans="1:61" ht="31.5" customHeight="1" x14ac:dyDescent="0.2">
      <c r="A161" s="20" t="s">
        <v>1113</v>
      </c>
      <c r="B161" s="21" t="s">
        <v>1114</v>
      </c>
      <c r="C161" s="27">
        <v>2012</v>
      </c>
      <c r="D161" s="21" t="s">
        <v>1115</v>
      </c>
      <c r="E161" s="21" t="s">
        <v>89</v>
      </c>
      <c r="F161" s="21" t="s">
        <v>106</v>
      </c>
      <c r="G161" s="21" t="s">
        <v>131</v>
      </c>
      <c r="H161" s="21" t="s">
        <v>108</v>
      </c>
      <c r="I161" s="21"/>
      <c r="J161" s="21" t="s">
        <v>1116</v>
      </c>
      <c r="K161" s="21" t="s">
        <v>93</v>
      </c>
      <c r="L161" s="21"/>
      <c r="M161" s="23" t="s">
        <v>1117</v>
      </c>
      <c r="N161" s="21" t="s">
        <v>111</v>
      </c>
      <c r="O161" s="21" t="s">
        <v>112</v>
      </c>
      <c r="P161" s="21" t="s">
        <v>1118</v>
      </c>
      <c r="Q161" s="21" t="s">
        <v>901</v>
      </c>
      <c r="R161" s="21"/>
      <c r="S161" s="21">
        <v>4</v>
      </c>
      <c r="T161" s="21"/>
      <c r="U161" s="21"/>
      <c r="V161" s="21" t="s">
        <v>902</v>
      </c>
      <c r="W161" s="17">
        <v>0.3</v>
      </c>
      <c r="X161" s="17">
        <v>0.4</v>
      </c>
      <c r="Y161" s="17">
        <v>0.65</v>
      </c>
      <c r="Z161" s="17">
        <v>0.55000000000000004</v>
      </c>
      <c r="AA161" s="18" t="b">
        <f>FALSE()</f>
        <v>0</v>
      </c>
      <c r="AB161" s="18" t="s">
        <v>98</v>
      </c>
      <c r="AC161" s="19">
        <v>0.312</v>
      </c>
      <c r="AD161" s="19">
        <v>0.625</v>
      </c>
      <c r="AE161" s="19">
        <v>0</v>
      </c>
      <c r="AF161" s="19">
        <v>6.2E-2</v>
      </c>
      <c r="AG161" s="19">
        <v>0</v>
      </c>
      <c r="AH161" s="19">
        <v>0</v>
      </c>
      <c r="AI161" s="19">
        <v>0</v>
      </c>
      <c r="AJ161" s="19">
        <v>0</v>
      </c>
      <c r="AK161" s="18" t="s">
        <v>89</v>
      </c>
      <c r="BF161" t="s">
        <v>99</v>
      </c>
      <c r="BH161" t="s">
        <v>100</v>
      </c>
      <c r="BI161" t="s">
        <v>101</v>
      </c>
    </row>
    <row r="162" spans="1:61" ht="75.75" customHeight="1" x14ac:dyDescent="0.2">
      <c r="A162" s="20" t="s">
        <v>1119</v>
      </c>
      <c r="B162" s="21" t="s">
        <v>1120</v>
      </c>
      <c r="C162" s="22">
        <v>2012</v>
      </c>
      <c r="D162" s="21" t="s">
        <v>1121</v>
      </c>
      <c r="E162" s="21" t="s">
        <v>89</v>
      </c>
      <c r="F162" s="21" t="s">
        <v>106</v>
      </c>
      <c r="G162" s="21" t="s">
        <v>107</v>
      </c>
      <c r="H162" s="21" t="s">
        <v>108</v>
      </c>
      <c r="I162" s="21"/>
      <c r="J162" s="21" t="s">
        <v>109</v>
      </c>
      <c r="K162" s="21" t="s">
        <v>93</v>
      </c>
      <c r="L162" s="21"/>
      <c r="M162" s="23" t="s">
        <v>1122</v>
      </c>
      <c r="N162" s="21" t="s">
        <v>111</v>
      </c>
      <c r="O162" s="21" t="s">
        <v>1123</v>
      </c>
      <c r="P162" s="21"/>
      <c r="Q162" s="21" t="s">
        <v>113</v>
      </c>
      <c r="R162" s="21"/>
      <c r="S162" s="21">
        <v>4</v>
      </c>
      <c r="T162" s="21" t="s">
        <v>1124</v>
      </c>
      <c r="U162" s="21"/>
      <c r="V162" s="14" t="s">
        <v>97</v>
      </c>
      <c r="W162" s="17">
        <v>0.3</v>
      </c>
      <c r="X162" s="17">
        <v>0.4</v>
      </c>
      <c r="Y162" s="17">
        <v>0.65</v>
      </c>
      <c r="Z162" s="17">
        <v>0.55000000000000004</v>
      </c>
      <c r="AA162" s="18" t="b">
        <f>FALSE()</f>
        <v>0</v>
      </c>
      <c r="AB162" s="18" t="s">
        <v>98</v>
      </c>
      <c r="AC162" s="19">
        <v>0.312</v>
      </c>
      <c r="AD162" s="19">
        <v>0.625</v>
      </c>
      <c r="AE162" s="19">
        <v>0</v>
      </c>
      <c r="AF162" s="19">
        <v>6.2E-2</v>
      </c>
      <c r="AG162" s="19">
        <v>0</v>
      </c>
      <c r="AH162" s="19">
        <v>0</v>
      </c>
      <c r="AI162" s="19">
        <v>0</v>
      </c>
      <c r="AJ162" s="19">
        <v>0</v>
      </c>
      <c r="AK162" s="18" t="s">
        <v>89</v>
      </c>
      <c r="BF162" t="s">
        <v>99</v>
      </c>
      <c r="BH162" t="s">
        <v>100</v>
      </c>
      <c r="BI162" t="s">
        <v>101</v>
      </c>
    </row>
    <row r="163" spans="1:61" ht="15.75" customHeight="1" x14ac:dyDescent="0.2">
      <c r="A163" s="20" t="s">
        <v>1125</v>
      </c>
      <c r="B163" s="21" t="s">
        <v>746</v>
      </c>
      <c r="C163" s="22">
        <v>2009</v>
      </c>
      <c r="D163" s="21" t="s">
        <v>1126</v>
      </c>
      <c r="E163" s="21" t="s">
        <v>737</v>
      </c>
      <c r="F163" s="21" t="s">
        <v>590</v>
      </c>
      <c r="G163" s="21" t="s">
        <v>224</v>
      </c>
      <c r="H163" s="21" t="s">
        <v>121</v>
      </c>
      <c r="I163" s="21"/>
      <c r="J163" s="21" t="s">
        <v>661</v>
      </c>
      <c r="K163" s="21" t="s">
        <v>590</v>
      </c>
      <c r="L163" s="21"/>
      <c r="M163" s="23" t="s">
        <v>1127</v>
      </c>
      <c r="N163" s="21" t="s">
        <v>111</v>
      </c>
      <c r="O163" s="21" t="s">
        <v>226</v>
      </c>
      <c r="P163" s="21"/>
      <c r="Q163" s="21"/>
      <c r="R163" s="21"/>
      <c r="S163" s="21">
        <v>3</v>
      </c>
      <c r="T163" s="21"/>
      <c r="U163" s="21"/>
      <c r="V163" s="14" t="s">
        <v>97</v>
      </c>
      <c r="W163" s="17">
        <v>0.9</v>
      </c>
      <c r="X163" s="17">
        <v>0.82</v>
      </c>
      <c r="Y163" s="17">
        <v>0.45</v>
      </c>
      <c r="Z163" s="17">
        <v>1</v>
      </c>
      <c r="AA163" s="18" t="b">
        <f>FALSE()</f>
        <v>0</v>
      </c>
      <c r="AB163" s="18" t="s">
        <v>126</v>
      </c>
      <c r="AC163" s="19">
        <v>0</v>
      </c>
      <c r="AD163" s="19">
        <v>0</v>
      </c>
      <c r="AE163" s="19">
        <v>0.81399999999999995</v>
      </c>
      <c r="AF163" s="19">
        <v>0.186</v>
      </c>
      <c r="AG163" s="19">
        <v>0</v>
      </c>
      <c r="AH163" s="19">
        <v>0</v>
      </c>
      <c r="AI163" s="19">
        <v>0</v>
      </c>
      <c r="AJ163" s="19">
        <v>0</v>
      </c>
      <c r="AK163" s="18" t="s">
        <v>342</v>
      </c>
      <c r="BF163" t="s">
        <v>99</v>
      </c>
      <c r="BH163" t="s">
        <v>100</v>
      </c>
      <c r="BI163" t="s">
        <v>101</v>
      </c>
    </row>
    <row r="164" spans="1:61" ht="15.75" customHeight="1" x14ac:dyDescent="0.2">
      <c r="A164" s="20" t="s">
        <v>1128</v>
      </c>
      <c r="B164" s="21" t="s">
        <v>1129</v>
      </c>
      <c r="C164" s="22">
        <v>2023</v>
      </c>
      <c r="D164" s="21" t="s">
        <v>1130</v>
      </c>
      <c r="E164" s="21" t="s">
        <v>737</v>
      </c>
      <c r="F164" s="21" t="s">
        <v>590</v>
      </c>
      <c r="G164" s="21" t="s">
        <v>224</v>
      </c>
      <c r="H164" s="21" t="s">
        <v>121</v>
      </c>
      <c r="I164" s="21"/>
      <c r="J164" s="21" t="s">
        <v>661</v>
      </c>
      <c r="K164" s="21" t="s">
        <v>590</v>
      </c>
      <c r="L164" s="21"/>
      <c r="M164" s="23" t="s">
        <v>1131</v>
      </c>
      <c r="N164" s="21" t="s">
        <v>111</v>
      </c>
      <c r="O164" s="21" t="s">
        <v>1132</v>
      </c>
      <c r="P164" s="21"/>
      <c r="Q164" s="21"/>
      <c r="R164" s="21"/>
      <c r="S164" s="21">
        <v>3</v>
      </c>
      <c r="T164" s="21"/>
      <c r="U164" s="21"/>
      <c r="V164" s="14" t="s">
        <v>97</v>
      </c>
      <c r="W164" s="17">
        <v>0.9</v>
      </c>
      <c r="X164" s="17">
        <v>0.82</v>
      </c>
      <c r="Y164" s="17">
        <v>0.45</v>
      </c>
      <c r="Z164" s="17">
        <v>1</v>
      </c>
      <c r="AA164" s="18" t="b">
        <f>FALSE()</f>
        <v>0</v>
      </c>
      <c r="AB164" s="18" t="s">
        <v>126</v>
      </c>
      <c r="AC164" s="19">
        <v>0</v>
      </c>
      <c r="AD164" s="19">
        <v>0</v>
      </c>
      <c r="AE164" s="19">
        <v>0.81399999999999995</v>
      </c>
      <c r="AF164" s="19">
        <v>0.186</v>
      </c>
      <c r="AG164" s="19">
        <v>0</v>
      </c>
      <c r="AH164" s="19">
        <v>0</v>
      </c>
      <c r="AI164" s="19">
        <v>0</v>
      </c>
      <c r="AJ164" s="19">
        <v>0</v>
      </c>
      <c r="AK164" s="18" t="s">
        <v>342</v>
      </c>
      <c r="BF164" t="s">
        <v>99</v>
      </c>
      <c r="BH164" t="s">
        <v>100</v>
      </c>
      <c r="BI164" t="s">
        <v>101</v>
      </c>
    </row>
    <row r="165" spans="1:61" ht="15.75" customHeight="1" x14ac:dyDescent="0.2">
      <c r="A165" s="20" t="s">
        <v>1133</v>
      </c>
      <c r="B165" s="21" t="s">
        <v>1134</v>
      </c>
      <c r="C165" s="22">
        <v>2025</v>
      </c>
      <c r="D165" s="21" t="s">
        <v>1135</v>
      </c>
      <c r="E165" s="21" t="s">
        <v>737</v>
      </c>
      <c r="F165" s="21" t="s">
        <v>590</v>
      </c>
      <c r="G165" s="21" t="s">
        <v>107</v>
      </c>
      <c r="H165" s="21" t="s">
        <v>516</v>
      </c>
      <c r="I165" s="21"/>
      <c r="J165" s="21" t="s">
        <v>682</v>
      </c>
      <c r="K165" s="21" t="s">
        <v>590</v>
      </c>
      <c r="L165" s="21"/>
      <c r="M165" s="23" t="s">
        <v>1136</v>
      </c>
      <c r="N165" s="21" t="s">
        <v>111</v>
      </c>
      <c r="O165" s="21" t="s">
        <v>1137</v>
      </c>
      <c r="P165" s="21"/>
      <c r="Q165" s="21"/>
      <c r="R165" s="21"/>
      <c r="S165" s="21">
        <v>2</v>
      </c>
      <c r="T165" s="21"/>
      <c r="U165" s="21"/>
      <c r="V165" s="14" t="s">
        <v>97</v>
      </c>
      <c r="W165" s="17">
        <v>0.9</v>
      </c>
      <c r="X165" s="17">
        <v>0.77</v>
      </c>
      <c r="Y165" s="17">
        <v>0.4</v>
      </c>
      <c r="Z165" s="17">
        <v>1</v>
      </c>
      <c r="AA165" s="18" t="b">
        <f>FALSE()</f>
        <v>0</v>
      </c>
      <c r="AB165" s="18" t="s">
        <v>98</v>
      </c>
      <c r="AC165" s="19">
        <v>0</v>
      </c>
      <c r="AD165" s="19">
        <v>0</v>
      </c>
      <c r="AE165" s="19">
        <v>0.81399999999999995</v>
      </c>
      <c r="AF165" s="19">
        <v>0.186</v>
      </c>
      <c r="AG165" s="19">
        <v>0</v>
      </c>
      <c r="AH165" s="19">
        <v>0</v>
      </c>
      <c r="AI165" s="19">
        <v>0</v>
      </c>
      <c r="AJ165" s="19">
        <v>0</v>
      </c>
      <c r="AK165" s="18" t="s">
        <v>342</v>
      </c>
      <c r="BF165" t="s">
        <v>99</v>
      </c>
      <c r="BH165" t="s">
        <v>100</v>
      </c>
      <c r="BI165" t="s">
        <v>101</v>
      </c>
    </row>
    <row r="166" spans="1:61" ht="15.75" customHeight="1" x14ac:dyDescent="0.2">
      <c r="A166" s="20" t="s">
        <v>1138</v>
      </c>
      <c r="B166" s="21" t="s">
        <v>1139</v>
      </c>
      <c r="C166" s="22">
        <v>1996</v>
      </c>
      <c r="D166" s="21" t="s">
        <v>1140</v>
      </c>
      <c r="E166" s="21" t="s">
        <v>737</v>
      </c>
      <c r="F166" s="21" t="s">
        <v>590</v>
      </c>
      <c r="G166" s="21" t="s">
        <v>329</v>
      </c>
      <c r="H166" s="21" t="s">
        <v>516</v>
      </c>
      <c r="I166" s="21"/>
      <c r="J166" s="21" t="s">
        <v>417</v>
      </c>
      <c r="K166" s="21" t="s">
        <v>590</v>
      </c>
      <c r="L166" s="21"/>
      <c r="M166" s="23" t="s">
        <v>1141</v>
      </c>
      <c r="N166" s="21" t="s">
        <v>111</v>
      </c>
      <c r="O166" s="21" t="s">
        <v>1142</v>
      </c>
      <c r="P166" s="21"/>
      <c r="Q166" s="21"/>
      <c r="R166" s="21"/>
      <c r="S166" s="21">
        <v>2</v>
      </c>
      <c r="T166" s="21"/>
      <c r="U166" s="21"/>
      <c r="V166" s="14" t="s">
        <v>97</v>
      </c>
      <c r="W166" s="17">
        <v>0.9</v>
      </c>
      <c r="X166" s="17">
        <v>0.77</v>
      </c>
      <c r="Y166" s="17">
        <v>0.4</v>
      </c>
      <c r="Z166" s="17">
        <v>1</v>
      </c>
      <c r="AA166" s="18" t="b">
        <f>FALSE()</f>
        <v>0</v>
      </c>
      <c r="AB166" s="18" t="s">
        <v>98</v>
      </c>
      <c r="AC166" s="19">
        <v>0</v>
      </c>
      <c r="AD166" s="19">
        <v>0</v>
      </c>
      <c r="AE166" s="19">
        <v>0.81399999999999995</v>
      </c>
      <c r="AF166" s="19">
        <v>0.186</v>
      </c>
      <c r="AG166" s="19">
        <v>0</v>
      </c>
      <c r="AH166" s="19">
        <v>0</v>
      </c>
      <c r="AI166" s="19">
        <v>0</v>
      </c>
      <c r="AJ166" s="19">
        <v>0</v>
      </c>
      <c r="AK166" s="18" t="s">
        <v>342</v>
      </c>
      <c r="BF166" t="s">
        <v>99</v>
      </c>
      <c r="BH166" t="s">
        <v>334</v>
      </c>
      <c r="BI166" t="s">
        <v>1143</v>
      </c>
    </row>
    <row r="167" spans="1:61" ht="15.75" customHeight="1" x14ac:dyDescent="0.2">
      <c r="A167" s="20" t="s">
        <v>1144</v>
      </c>
      <c r="B167" s="21" t="s">
        <v>1145</v>
      </c>
      <c r="C167" s="22">
        <v>1997</v>
      </c>
      <c r="D167" s="21" t="s">
        <v>1146</v>
      </c>
      <c r="E167" s="21" t="s">
        <v>737</v>
      </c>
      <c r="F167" s="21" t="s">
        <v>590</v>
      </c>
      <c r="G167" s="21" t="s">
        <v>107</v>
      </c>
      <c r="H167" s="21" t="s">
        <v>516</v>
      </c>
      <c r="I167" s="21"/>
      <c r="J167" s="21" t="s">
        <v>682</v>
      </c>
      <c r="K167" s="21" t="s">
        <v>590</v>
      </c>
      <c r="L167" s="21"/>
      <c r="M167" s="23" t="s">
        <v>1147</v>
      </c>
      <c r="N167" s="21" t="s">
        <v>111</v>
      </c>
      <c r="O167" s="21" t="s">
        <v>1148</v>
      </c>
      <c r="P167" s="21"/>
      <c r="Q167" s="21"/>
      <c r="R167" s="21"/>
      <c r="S167" s="21">
        <v>1</v>
      </c>
      <c r="T167" s="21"/>
      <c r="U167" s="21"/>
      <c r="V167" s="14" t="s">
        <v>97</v>
      </c>
      <c r="W167" s="17">
        <v>0.9</v>
      </c>
      <c r="X167" s="17">
        <v>0.77</v>
      </c>
      <c r="Y167" s="17">
        <v>0.4</v>
      </c>
      <c r="Z167" s="17">
        <v>1</v>
      </c>
      <c r="AA167" s="18" t="b">
        <f>FALSE()</f>
        <v>0</v>
      </c>
      <c r="AB167" s="18" t="s">
        <v>98</v>
      </c>
      <c r="AC167" s="19">
        <v>0</v>
      </c>
      <c r="AD167" s="19">
        <v>0</v>
      </c>
      <c r="AE167" s="19">
        <v>0.81399999999999995</v>
      </c>
      <c r="AF167" s="19">
        <v>0.186</v>
      </c>
      <c r="AG167" s="19">
        <v>0</v>
      </c>
      <c r="AH167" s="19">
        <v>0</v>
      </c>
      <c r="AI167" s="19">
        <v>0</v>
      </c>
      <c r="AJ167" s="19">
        <v>0</v>
      </c>
      <c r="AK167" s="18" t="s">
        <v>342</v>
      </c>
      <c r="BF167" t="s">
        <v>99</v>
      </c>
      <c r="BH167" t="s">
        <v>100</v>
      </c>
      <c r="BI167" t="s">
        <v>101</v>
      </c>
    </row>
    <row r="168" spans="1:61" ht="15.75" customHeight="1" x14ac:dyDescent="0.2">
      <c r="A168" s="20" t="s">
        <v>1149</v>
      </c>
      <c r="B168" s="21" t="s">
        <v>1150</v>
      </c>
      <c r="C168" s="22">
        <v>2025</v>
      </c>
      <c r="D168" s="21" t="s">
        <v>1151</v>
      </c>
      <c r="E168" s="21" t="s">
        <v>737</v>
      </c>
      <c r="F168" s="21" t="s">
        <v>590</v>
      </c>
      <c r="G168" s="21" t="s">
        <v>107</v>
      </c>
      <c r="H168" s="21" t="s">
        <v>516</v>
      </c>
      <c r="I168" s="21"/>
      <c r="J168" s="21" t="s">
        <v>682</v>
      </c>
      <c r="K168" s="21" t="s">
        <v>590</v>
      </c>
      <c r="L168" s="21"/>
      <c r="M168" s="23" t="s">
        <v>1152</v>
      </c>
      <c r="N168" s="21" t="s">
        <v>111</v>
      </c>
      <c r="O168" s="21" t="s">
        <v>1153</v>
      </c>
      <c r="P168" s="21"/>
      <c r="Q168" s="21"/>
      <c r="R168" s="21"/>
      <c r="S168" s="21">
        <v>1</v>
      </c>
      <c r="T168" s="21"/>
      <c r="U168" s="21"/>
      <c r="V168" s="14" t="s">
        <v>97</v>
      </c>
      <c r="W168" s="17">
        <v>0.9</v>
      </c>
      <c r="X168" s="17">
        <v>0.77</v>
      </c>
      <c r="Y168" s="17">
        <v>0.4</v>
      </c>
      <c r="Z168" s="17">
        <v>1</v>
      </c>
      <c r="AA168" s="18" t="b">
        <f>FALSE()</f>
        <v>0</v>
      </c>
      <c r="AB168" s="18" t="s">
        <v>98</v>
      </c>
      <c r="AC168" s="19">
        <v>0</v>
      </c>
      <c r="AD168" s="19">
        <v>0</v>
      </c>
      <c r="AE168" s="19">
        <v>0.81399999999999995</v>
      </c>
      <c r="AF168" s="19">
        <v>0.186</v>
      </c>
      <c r="AG168" s="19">
        <v>0</v>
      </c>
      <c r="AH168" s="19">
        <v>0</v>
      </c>
      <c r="AI168" s="19">
        <v>0</v>
      </c>
      <c r="AJ168" s="19">
        <v>0</v>
      </c>
      <c r="AK168" s="18" t="s">
        <v>342</v>
      </c>
      <c r="BF168" t="s">
        <v>99</v>
      </c>
      <c r="BH168" t="s">
        <v>100</v>
      </c>
      <c r="BI168" t="s">
        <v>101</v>
      </c>
    </row>
    <row r="169" spans="1:61" ht="15.75" customHeight="1" x14ac:dyDescent="0.2">
      <c r="A169" s="20" t="s">
        <v>1154</v>
      </c>
      <c r="B169" s="21" t="s">
        <v>1155</v>
      </c>
      <c r="C169" s="22">
        <v>1951</v>
      </c>
      <c r="D169" s="21" t="s">
        <v>1156</v>
      </c>
      <c r="E169" s="21" t="s">
        <v>89</v>
      </c>
      <c r="F169" s="21" t="s">
        <v>90</v>
      </c>
      <c r="G169" s="21" t="s">
        <v>329</v>
      </c>
      <c r="H169" s="21" t="s">
        <v>516</v>
      </c>
      <c r="I169" s="21"/>
      <c r="J169" s="21" t="s">
        <v>682</v>
      </c>
      <c r="K169" s="21" t="s">
        <v>330</v>
      </c>
      <c r="L169" s="21"/>
      <c r="M169" s="23" t="s">
        <v>1157</v>
      </c>
      <c r="N169" s="21" t="s">
        <v>95</v>
      </c>
      <c r="O169" s="21" t="s">
        <v>1158</v>
      </c>
      <c r="P169" s="21"/>
      <c r="Q169" s="21"/>
      <c r="R169" s="21"/>
      <c r="S169" s="21">
        <v>2</v>
      </c>
      <c r="T169" s="21"/>
      <c r="U169" s="21"/>
      <c r="V169" s="14" t="s">
        <v>97</v>
      </c>
      <c r="W169" s="17">
        <v>0.1</v>
      </c>
      <c r="X169" s="17">
        <v>0.1</v>
      </c>
      <c r="Y169" s="17">
        <v>0.1</v>
      </c>
      <c r="Z169" s="17">
        <v>0.5</v>
      </c>
      <c r="AA169" s="18" t="b">
        <f>FALSE()</f>
        <v>0</v>
      </c>
      <c r="AB169" s="18" t="s">
        <v>98</v>
      </c>
      <c r="AC169" s="19">
        <v>0.125</v>
      </c>
      <c r="AD169" s="19">
        <v>0.125</v>
      </c>
      <c r="AE169" s="19">
        <v>0.125</v>
      </c>
      <c r="AF169" s="19">
        <v>0.125</v>
      </c>
      <c r="AG169" s="19">
        <v>0.125</v>
      </c>
      <c r="AH169" s="19">
        <v>0.125</v>
      </c>
      <c r="AI169" s="19">
        <v>0.125</v>
      </c>
      <c r="AJ169" s="19">
        <v>0.125</v>
      </c>
      <c r="AK169" s="18" t="s">
        <v>333</v>
      </c>
      <c r="BF169" t="s">
        <v>99</v>
      </c>
      <c r="BH169" t="s">
        <v>334</v>
      </c>
      <c r="BI169" t="s">
        <v>684</v>
      </c>
    </row>
    <row r="170" spans="1:61" ht="15.75" customHeight="1" x14ac:dyDescent="0.2">
      <c r="A170" s="20" t="s">
        <v>1159</v>
      </c>
      <c r="B170" s="21" t="s">
        <v>1160</v>
      </c>
      <c r="C170" s="22">
        <v>2026</v>
      </c>
      <c r="D170" s="21" t="s">
        <v>1161</v>
      </c>
      <c r="E170" s="21" t="s">
        <v>89</v>
      </c>
      <c r="F170" s="21" t="s">
        <v>106</v>
      </c>
      <c r="G170" s="21" t="s">
        <v>107</v>
      </c>
      <c r="H170" s="21" t="s">
        <v>108</v>
      </c>
      <c r="I170" s="21"/>
      <c r="J170" s="21" t="s">
        <v>682</v>
      </c>
      <c r="K170" s="21" t="s">
        <v>93</v>
      </c>
      <c r="L170" s="21"/>
      <c r="M170" s="23" t="s">
        <v>1162</v>
      </c>
      <c r="N170" s="21" t="s">
        <v>111</v>
      </c>
      <c r="O170" s="21" t="s">
        <v>1163</v>
      </c>
      <c r="P170" s="21"/>
      <c r="Q170" s="21"/>
      <c r="R170" s="21"/>
      <c r="S170" s="21">
        <v>2</v>
      </c>
      <c r="T170" s="21" t="s">
        <v>1164</v>
      </c>
      <c r="U170" s="21"/>
      <c r="V170" s="14" t="s">
        <v>97</v>
      </c>
      <c r="W170" s="17">
        <v>0.3</v>
      </c>
      <c r="X170" s="17">
        <v>0.4</v>
      </c>
      <c r="Y170" s="17">
        <v>0.65</v>
      </c>
      <c r="Z170" s="17">
        <v>0.55000000000000004</v>
      </c>
      <c r="AA170" s="18" t="b">
        <f>FALSE()</f>
        <v>0</v>
      </c>
      <c r="AB170" s="18" t="s">
        <v>98</v>
      </c>
      <c r="AC170" s="19">
        <v>0.312</v>
      </c>
      <c r="AD170" s="19">
        <v>0.625</v>
      </c>
      <c r="AE170" s="19">
        <v>0</v>
      </c>
      <c r="AF170" s="19">
        <v>6.2E-2</v>
      </c>
      <c r="AG170" s="19">
        <v>0</v>
      </c>
      <c r="AH170" s="19">
        <v>0</v>
      </c>
      <c r="AI170" s="19">
        <v>0</v>
      </c>
      <c r="AJ170" s="19">
        <v>0</v>
      </c>
      <c r="AK170" s="18" t="s">
        <v>89</v>
      </c>
      <c r="BF170" t="s">
        <v>99</v>
      </c>
      <c r="BH170" t="s">
        <v>100</v>
      </c>
      <c r="BI170" t="s">
        <v>101</v>
      </c>
    </row>
    <row r="171" spans="1:61" ht="15.75" customHeight="1" x14ac:dyDescent="0.2">
      <c r="A171" s="20" t="s">
        <v>1165</v>
      </c>
      <c r="B171" s="21" t="s">
        <v>1166</v>
      </c>
      <c r="C171" s="22">
        <v>2025</v>
      </c>
      <c r="D171" s="21" t="s">
        <v>1167</v>
      </c>
      <c r="E171" s="21" t="s">
        <v>89</v>
      </c>
      <c r="F171" s="21" t="s">
        <v>106</v>
      </c>
      <c r="G171" s="21" t="s">
        <v>224</v>
      </c>
      <c r="H171" s="21" t="s">
        <v>121</v>
      </c>
      <c r="I171" s="21"/>
      <c r="J171" s="21" t="s">
        <v>122</v>
      </c>
      <c r="K171" s="21" t="s">
        <v>93</v>
      </c>
      <c r="L171" s="21"/>
      <c r="M171" s="23" t="s">
        <v>1168</v>
      </c>
      <c r="N171" s="21" t="s">
        <v>111</v>
      </c>
      <c r="O171" s="21" t="s">
        <v>1169</v>
      </c>
      <c r="P171" s="21"/>
      <c r="Q171" s="21"/>
      <c r="R171" s="21"/>
      <c r="S171" s="21">
        <v>2</v>
      </c>
      <c r="T171" s="21" t="s">
        <v>1164</v>
      </c>
      <c r="U171" s="21"/>
      <c r="V171" s="14" t="s">
        <v>97</v>
      </c>
      <c r="W171" s="17">
        <v>0.3</v>
      </c>
      <c r="X171" s="17">
        <v>0.45</v>
      </c>
      <c r="Y171" s="17">
        <v>0.7</v>
      </c>
      <c r="Z171" s="17">
        <v>0.55000000000000004</v>
      </c>
      <c r="AA171" s="18" t="b">
        <f>FALSE()</f>
        <v>0</v>
      </c>
      <c r="AB171" s="18" t="s">
        <v>126</v>
      </c>
      <c r="AC171" s="19">
        <v>0.312</v>
      </c>
      <c r="AD171" s="19">
        <v>0.625</v>
      </c>
      <c r="AE171" s="19">
        <v>0</v>
      </c>
      <c r="AF171" s="19">
        <v>6.2E-2</v>
      </c>
      <c r="AG171" s="19">
        <v>0</v>
      </c>
      <c r="AH171" s="19">
        <v>0</v>
      </c>
      <c r="AI171" s="19">
        <v>0</v>
      </c>
      <c r="AJ171" s="19">
        <v>0</v>
      </c>
      <c r="AK171" s="18" t="s">
        <v>89</v>
      </c>
      <c r="BF171" t="s">
        <v>99</v>
      </c>
      <c r="BH171" t="s">
        <v>100</v>
      </c>
      <c r="BI171" t="s">
        <v>101</v>
      </c>
    </row>
    <row r="172" spans="1:61" ht="31.5" customHeight="1" x14ac:dyDescent="0.2">
      <c r="A172" s="20" t="s">
        <v>1170</v>
      </c>
      <c r="B172" s="21" t="s">
        <v>1171</v>
      </c>
      <c r="C172" s="22">
        <v>2026</v>
      </c>
      <c r="D172" s="21" t="s">
        <v>1172</v>
      </c>
      <c r="E172" s="21" t="s">
        <v>89</v>
      </c>
      <c r="F172" s="21" t="s">
        <v>106</v>
      </c>
      <c r="G172" s="21" t="s">
        <v>224</v>
      </c>
      <c r="H172" s="21" t="s">
        <v>91</v>
      </c>
      <c r="I172" s="21"/>
      <c r="J172" s="21" t="s">
        <v>661</v>
      </c>
      <c r="K172" s="21" t="s">
        <v>93</v>
      </c>
      <c r="L172" s="21"/>
      <c r="M172" s="23" t="s">
        <v>1173</v>
      </c>
      <c r="N172" s="21" t="s">
        <v>111</v>
      </c>
      <c r="O172" s="21" t="s">
        <v>1174</v>
      </c>
      <c r="P172" s="21"/>
      <c r="Q172" s="21"/>
      <c r="R172" s="21"/>
      <c r="S172" s="21">
        <v>2</v>
      </c>
      <c r="T172" s="21" t="s">
        <v>1175</v>
      </c>
      <c r="U172" s="21"/>
      <c r="V172" s="14" t="s">
        <v>97</v>
      </c>
      <c r="W172" s="17">
        <v>0.3</v>
      </c>
      <c r="X172" s="17">
        <v>0.45</v>
      </c>
      <c r="Y172" s="17">
        <v>0.7</v>
      </c>
      <c r="Z172" s="17">
        <v>0.55000000000000004</v>
      </c>
      <c r="AA172" s="18" t="b">
        <f>FALSE()</f>
        <v>0</v>
      </c>
      <c r="AB172" s="18" t="s">
        <v>126</v>
      </c>
      <c r="AC172" s="19">
        <v>0.312</v>
      </c>
      <c r="AD172" s="19">
        <v>0.625</v>
      </c>
      <c r="AE172" s="19">
        <v>0</v>
      </c>
      <c r="AF172" s="19">
        <v>6.2E-2</v>
      </c>
      <c r="AG172" s="19">
        <v>0</v>
      </c>
      <c r="AH172" s="19">
        <v>0</v>
      </c>
      <c r="AI172" s="19">
        <v>0</v>
      </c>
      <c r="AJ172" s="19">
        <v>0</v>
      </c>
      <c r="AK172" s="18" t="s">
        <v>89</v>
      </c>
      <c r="BF172" t="s">
        <v>99</v>
      </c>
      <c r="BH172" t="s">
        <v>100</v>
      </c>
      <c r="BI172" t="s">
        <v>101</v>
      </c>
    </row>
    <row r="173" spans="1:61" ht="31.5" customHeight="1" x14ac:dyDescent="0.2">
      <c r="A173" s="20" t="s">
        <v>1356</v>
      </c>
      <c r="B173" s="21" t="s">
        <v>1357</v>
      </c>
      <c r="C173" s="27">
        <v>2014</v>
      </c>
      <c r="D173" s="21" t="s">
        <v>1358</v>
      </c>
      <c r="E173" s="21" t="s">
        <v>524</v>
      </c>
      <c r="F173" s="21" t="s">
        <v>631</v>
      </c>
      <c r="G173" s="21" t="s">
        <v>261</v>
      </c>
      <c r="H173" s="21" t="s">
        <v>91</v>
      </c>
      <c r="I173" s="21"/>
      <c r="J173" s="21" t="s">
        <v>589</v>
      </c>
      <c r="K173" s="21" t="s">
        <v>204</v>
      </c>
      <c r="L173" s="21"/>
      <c r="M173" s="23" t="s">
        <v>1359</v>
      </c>
      <c r="N173" s="21" t="s">
        <v>199</v>
      </c>
      <c r="O173" s="21" t="s">
        <v>271</v>
      </c>
      <c r="P173" s="21"/>
      <c r="Q173" s="21"/>
      <c r="R173" s="21"/>
      <c r="S173" s="21">
        <v>4</v>
      </c>
      <c r="T173" s="21"/>
      <c r="U173" s="21"/>
      <c r="V173" s="21" t="s">
        <v>97</v>
      </c>
      <c r="W173" s="17">
        <v>0.71</v>
      </c>
      <c r="X173" s="17">
        <v>0.61</v>
      </c>
      <c r="Y173" s="17">
        <v>0.15</v>
      </c>
      <c r="Z173" s="17">
        <v>0.87</v>
      </c>
      <c r="AA173" s="18" t="b">
        <f>TRUE()</f>
        <v>1</v>
      </c>
      <c r="AB173" s="18" t="s">
        <v>246</v>
      </c>
      <c r="AC173" s="19">
        <v>0</v>
      </c>
      <c r="AD173" s="19">
        <v>0</v>
      </c>
      <c r="AE173" s="19">
        <v>0.34200000000000003</v>
      </c>
      <c r="AF173" s="19">
        <v>5.2999999999999999E-2</v>
      </c>
      <c r="AG173" s="19">
        <v>7.9000000000000001E-2</v>
      </c>
      <c r="AH173" s="19">
        <v>0.47399999999999998</v>
      </c>
      <c r="AI173" s="19">
        <v>0</v>
      </c>
      <c r="AJ173" s="19">
        <v>5.2999999999999999E-2</v>
      </c>
      <c r="AK173" s="18" t="s">
        <v>193</v>
      </c>
      <c r="AL173">
        <v>0.67</v>
      </c>
      <c r="AM173">
        <v>0.28999999999999998</v>
      </c>
      <c r="AN173">
        <v>0</v>
      </c>
      <c r="AO173">
        <v>0</v>
      </c>
      <c r="AP173">
        <v>0</v>
      </c>
      <c r="AQ173">
        <v>0.67</v>
      </c>
      <c r="AR173">
        <v>0.14000000000000001</v>
      </c>
      <c r="BF173" t="s">
        <v>247</v>
      </c>
      <c r="BG173" t="s">
        <v>265</v>
      </c>
      <c r="BH173" t="s">
        <v>249</v>
      </c>
      <c r="BI173" t="s">
        <v>1360</v>
      </c>
    </row>
    <row r="174" spans="1:61" ht="30" customHeight="1" x14ac:dyDescent="0.2">
      <c r="A174" s="2" t="s">
        <v>1183</v>
      </c>
      <c r="B174" s="21" t="s">
        <v>559</v>
      </c>
      <c r="C174" s="2">
        <v>2013</v>
      </c>
      <c r="D174" s="2" t="s">
        <v>1184</v>
      </c>
      <c r="E174" s="21" t="s">
        <v>231</v>
      </c>
      <c r="F174" s="21" t="s">
        <v>525</v>
      </c>
      <c r="G174" s="35" t="s">
        <v>131</v>
      </c>
      <c r="H174" s="21" t="s">
        <v>108</v>
      </c>
      <c r="I174" s="21"/>
      <c r="J174" s="21" t="s">
        <v>132</v>
      </c>
      <c r="K174" s="21" t="s">
        <v>330</v>
      </c>
      <c r="L174" s="21"/>
      <c r="M174" s="23" t="s">
        <v>1185</v>
      </c>
      <c r="N174" s="21" t="s">
        <v>323</v>
      </c>
      <c r="O174" s="2" t="s">
        <v>244</v>
      </c>
      <c r="P174" s="2"/>
      <c r="Q174" s="2"/>
      <c r="R174" s="2"/>
      <c r="S174" s="2">
        <v>2</v>
      </c>
      <c r="T174" s="2" t="s">
        <v>1186</v>
      </c>
      <c r="U174" s="2"/>
      <c r="V174" s="2"/>
      <c r="W174" s="17">
        <v>0.3</v>
      </c>
      <c r="X174" s="17">
        <v>0.42</v>
      </c>
      <c r="Y174" s="17">
        <v>0.42</v>
      </c>
      <c r="Z174" s="17">
        <v>0.5</v>
      </c>
      <c r="AA174" s="18" t="b">
        <f>FALSE()</f>
        <v>0</v>
      </c>
      <c r="AB174" s="18" t="s">
        <v>98</v>
      </c>
      <c r="AC174" s="19">
        <v>0.25</v>
      </c>
      <c r="AD174" s="19">
        <v>0.25</v>
      </c>
      <c r="AE174" s="19">
        <v>8.3000000000000004E-2</v>
      </c>
      <c r="AF174" s="19">
        <v>8.3000000000000004E-2</v>
      </c>
      <c r="AG174" s="19">
        <v>8.3000000000000004E-2</v>
      </c>
      <c r="AH174" s="19">
        <v>8.3000000000000004E-2</v>
      </c>
      <c r="AI174" s="19">
        <v>8.3000000000000004E-2</v>
      </c>
      <c r="AJ174" s="19">
        <v>8.3000000000000004E-2</v>
      </c>
      <c r="AK174" s="18" t="s">
        <v>333</v>
      </c>
      <c r="BF174" t="s">
        <v>99</v>
      </c>
      <c r="BH174" t="s">
        <v>100</v>
      </c>
      <c r="BI174" t="s">
        <v>101</v>
      </c>
    </row>
    <row r="175" spans="1:61" ht="15.75" customHeight="1" x14ac:dyDescent="0.2">
      <c r="A175" s="2" t="s">
        <v>1187</v>
      </c>
      <c r="B175" s="21" t="s">
        <v>559</v>
      </c>
      <c r="C175" s="2">
        <v>2026</v>
      </c>
      <c r="D175" s="2" t="s">
        <v>1188</v>
      </c>
      <c r="E175" s="21" t="s">
        <v>231</v>
      </c>
      <c r="F175" s="21" t="s">
        <v>525</v>
      </c>
      <c r="G175" s="21" t="s">
        <v>107</v>
      </c>
      <c r="H175" s="21" t="s">
        <v>108</v>
      </c>
      <c r="I175" s="35"/>
      <c r="J175" s="2"/>
      <c r="K175" s="21" t="s">
        <v>330</v>
      </c>
      <c r="L175" s="35"/>
      <c r="M175" s="2"/>
      <c r="N175" s="21" t="s">
        <v>323</v>
      </c>
      <c r="O175" s="2"/>
      <c r="P175" s="2"/>
      <c r="Q175" s="2"/>
      <c r="R175" s="2"/>
      <c r="S175" s="2">
        <v>2</v>
      </c>
      <c r="T175" s="2"/>
      <c r="U175" s="2"/>
      <c r="V175" s="2"/>
      <c r="W175" s="17">
        <v>0.3</v>
      </c>
      <c r="X175" s="17">
        <v>0.42</v>
      </c>
      <c r="Y175" s="17">
        <v>0.42</v>
      </c>
      <c r="Z175" s="17">
        <v>0.5</v>
      </c>
      <c r="AA175" s="18" t="b">
        <f>FALSE()</f>
        <v>0</v>
      </c>
      <c r="AB175" s="18" t="s">
        <v>98</v>
      </c>
      <c r="AC175" s="19">
        <v>0.25</v>
      </c>
      <c r="AD175" s="19">
        <v>0.25</v>
      </c>
      <c r="AE175" s="19">
        <v>8.3000000000000004E-2</v>
      </c>
      <c r="AF175" s="19">
        <v>8.3000000000000004E-2</v>
      </c>
      <c r="AG175" s="19">
        <v>8.3000000000000004E-2</v>
      </c>
      <c r="AH175" s="19">
        <v>8.3000000000000004E-2</v>
      </c>
      <c r="AI175" s="19">
        <v>8.3000000000000004E-2</v>
      </c>
      <c r="AJ175" s="19">
        <v>8.3000000000000004E-2</v>
      </c>
      <c r="AK175" s="18" t="s">
        <v>333</v>
      </c>
      <c r="BF175" t="s">
        <v>99</v>
      </c>
      <c r="BH175" t="s">
        <v>100</v>
      </c>
      <c r="BI175" t="s">
        <v>101</v>
      </c>
    </row>
    <row r="176" spans="1:61" s="41" customFormat="1" ht="288" customHeight="1" x14ac:dyDescent="0.15">
      <c r="A176" s="36" t="s">
        <v>1189</v>
      </c>
      <c r="B176" s="37" t="s">
        <v>559</v>
      </c>
      <c r="C176" s="38">
        <v>2014</v>
      </c>
      <c r="D176" s="38" t="s">
        <v>1190</v>
      </c>
      <c r="E176" s="37" t="s">
        <v>231</v>
      </c>
      <c r="F176" s="21" t="s">
        <v>525</v>
      </c>
      <c r="G176" s="21" t="s">
        <v>107</v>
      </c>
      <c r="H176" s="37" t="s">
        <v>108</v>
      </c>
      <c r="I176" s="39"/>
      <c r="J176" s="38"/>
      <c r="K176" s="21" t="s">
        <v>330</v>
      </c>
      <c r="L176" s="21"/>
      <c r="M176" s="40" t="s">
        <v>1191</v>
      </c>
      <c r="N176" s="21" t="s">
        <v>323</v>
      </c>
      <c r="O176" s="38"/>
      <c r="P176" s="38"/>
      <c r="Q176" s="38"/>
      <c r="R176" s="38"/>
      <c r="S176" s="38">
        <v>2</v>
      </c>
      <c r="T176" s="39" t="s">
        <v>1192</v>
      </c>
      <c r="U176" s="39"/>
      <c r="V176" s="38"/>
      <c r="W176" s="17">
        <v>0.3</v>
      </c>
      <c r="X176" s="17">
        <v>0.42</v>
      </c>
      <c r="Y176" s="17">
        <v>0.42</v>
      </c>
      <c r="Z176" s="17">
        <v>0.5</v>
      </c>
      <c r="AA176" s="18" t="b">
        <f>FALSE()</f>
        <v>0</v>
      </c>
      <c r="AB176" s="18" t="s">
        <v>98</v>
      </c>
      <c r="AC176" s="19">
        <v>0.25</v>
      </c>
      <c r="AD176" s="19">
        <v>0.25</v>
      </c>
      <c r="AE176" s="19">
        <v>8.3000000000000004E-2</v>
      </c>
      <c r="AF176" s="19">
        <v>8.3000000000000004E-2</v>
      </c>
      <c r="AG176" s="19">
        <v>8.3000000000000004E-2</v>
      </c>
      <c r="AH176" s="19">
        <v>8.3000000000000004E-2</v>
      </c>
      <c r="AI176" s="19">
        <v>8.3000000000000004E-2</v>
      </c>
      <c r="AJ176" s="19">
        <v>8.3000000000000004E-2</v>
      </c>
      <c r="AK176" s="18" t="s">
        <v>333</v>
      </c>
      <c r="BF176" s="41" t="s">
        <v>99</v>
      </c>
      <c r="BH176" s="41" t="s">
        <v>100</v>
      </c>
      <c r="BI176" s="41" t="s">
        <v>101</v>
      </c>
    </row>
    <row r="177" spans="1:62" ht="15.75" customHeight="1" x14ac:dyDescent="0.2">
      <c r="A177" s="42" t="s">
        <v>1193</v>
      </c>
      <c r="B177" s="43" t="s">
        <v>1194</v>
      </c>
      <c r="C177" s="44">
        <v>2011</v>
      </c>
      <c r="D177" s="43" t="s">
        <v>1195</v>
      </c>
      <c r="E177" s="14" t="s">
        <v>788</v>
      </c>
      <c r="F177" s="14" t="s">
        <v>90</v>
      </c>
      <c r="G177" s="43" t="s">
        <v>90</v>
      </c>
      <c r="H177" s="14" t="s">
        <v>91</v>
      </c>
      <c r="I177" s="43"/>
      <c r="J177" s="43" t="s">
        <v>1196</v>
      </c>
      <c r="K177" s="14" t="s">
        <v>330</v>
      </c>
      <c r="L177" s="14"/>
      <c r="M177" s="16" t="s">
        <v>1197</v>
      </c>
      <c r="N177" s="14" t="s">
        <v>95</v>
      </c>
      <c r="O177" s="28" t="s">
        <v>1198</v>
      </c>
      <c r="P177" s="28"/>
      <c r="Q177" s="43"/>
      <c r="R177" s="43"/>
      <c r="S177" s="43">
        <v>1</v>
      </c>
      <c r="T177" s="28"/>
      <c r="U177" s="28"/>
      <c r="V177" s="14" t="s">
        <v>97</v>
      </c>
      <c r="W177" s="17">
        <v>0.1</v>
      </c>
      <c r="X177" s="17">
        <v>0.1</v>
      </c>
      <c r="Y177" s="17">
        <v>0.1</v>
      </c>
      <c r="Z177" s="17">
        <v>0.5</v>
      </c>
      <c r="AA177" s="18" t="b">
        <f>FALSE()</f>
        <v>0</v>
      </c>
      <c r="AB177" s="18" t="s">
        <v>98</v>
      </c>
      <c r="AC177" s="19">
        <v>0.125</v>
      </c>
      <c r="AD177" s="19">
        <v>0.125</v>
      </c>
      <c r="AE177" s="19">
        <v>0.125</v>
      </c>
      <c r="AF177" s="19">
        <v>0.125</v>
      </c>
      <c r="AG177" s="19">
        <v>0.125</v>
      </c>
      <c r="AH177" s="19">
        <v>0.125</v>
      </c>
      <c r="AI177" s="19">
        <v>0.125</v>
      </c>
      <c r="AJ177" s="19">
        <v>0.125</v>
      </c>
      <c r="AK177" s="18" t="s">
        <v>333</v>
      </c>
      <c r="BF177" t="s">
        <v>99</v>
      </c>
      <c r="BH177" t="s">
        <v>100</v>
      </c>
      <c r="BI177" t="s">
        <v>101</v>
      </c>
    </row>
    <row r="178" spans="1:62" ht="15.75" customHeight="1" x14ac:dyDescent="0.2">
      <c r="A178" s="46" t="s">
        <v>1666</v>
      </c>
      <c r="B178" s="47" t="s">
        <v>855</v>
      </c>
      <c r="C178" s="48">
        <v>2014</v>
      </c>
      <c r="D178" s="52" t="s">
        <v>1667</v>
      </c>
      <c r="E178" s="21" t="s">
        <v>737</v>
      </c>
      <c r="F178" s="21" t="s">
        <v>857</v>
      </c>
      <c r="G178" s="47" t="s">
        <v>131</v>
      </c>
      <c r="H178" s="21" t="s">
        <v>108</v>
      </c>
      <c r="I178" s="47"/>
      <c r="J178" s="47" t="s">
        <v>132</v>
      </c>
      <c r="K178" s="21" t="s">
        <v>859</v>
      </c>
      <c r="L178" s="35"/>
      <c r="M178" s="49" t="s">
        <v>1668</v>
      </c>
      <c r="N178" s="21" t="s">
        <v>111</v>
      </c>
      <c r="O178" s="35" t="s">
        <v>1669</v>
      </c>
      <c r="P178" s="35"/>
      <c r="Q178" s="47"/>
      <c r="R178" s="47"/>
      <c r="S178" s="47">
        <v>3</v>
      </c>
      <c r="T178" s="35" t="s">
        <v>569</v>
      </c>
      <c r="U178" s="35" t="s">
        <v>1670</v>
      </c>
      <c r="V178" s="21" t="s">
        <v>861</v>
      </c>
      <c r="W178" s="17">
        <v>0.9</v>
      </c>
      <c r="X178" s="17">
        <v>0.77</v>
      </c>
      <c r="Y178" s="17">
        <v>0.4</v>
      </c>
      <c r="Z178" s="17">
        <v>1</v>
      </c>
      <c r="AA178" s="18" t="b">
        <f>TRUE()</f>
        <v>1</v>
      </c>
      <c r="AB178" s="18" t="s">
        <v>246</v>
      </c>
      <c r="AC178" s="19">
        <v>0</v>
      </c>
      <c r="AD178" s="19">
        <v>0</v>
      </c>
      <c r="AE178" s="19">
        <v>0.81399999999999995</v>
      </c>
      <c r="AF178" s="19">
        <v>0.186</v>
      </c>
      <c r="AG178" s="19">
        <v>0</v>
      </c>
      <c r="AH178" s="19">
        <v>0</v>
      </c>
      <c r="AI178" s="19">
        <v>0</v>
      </c>
      <c r="AJ178" s="19">
        <v>0</v>
      </c>
      <c r="AK178" s="18" t="s">
        <v>342</v>
      </c>
      <c r="BF178" t="s">
        <v>99</v>
      </c>
      <c r="BH178" t="s">
        <v>100</v>
      </c>
      <c r="BI178" t="s">
        <v>101</v>
      </c>
    </row>
    <row r="179" spans="1:62" ht="15.75" customHeight="1" x14ac:dyDescent="0.2">
      <c r="A179" s="42" t="s">
        <v>1206</v>
      </c>
      <c r="B179" s="43" t="s">
        <v>1207</v>
      </c>
      <c r="C179" s="2">
        <v>2012</v>
      </c>
      <c r="D179" s="43" t="s">
        <v>1208</v>
      </c>
      <c r="E179" s="14" t="s">
        <v>788</v>
      </c>
      <c r="F179" s="14" t="s">
        <v>789</v>
      </c>
      <c r="G179" s="43" t="s">
        <v>329</v>
      </c>
      <c r="H179" s="14" t="s">
        <v>108</v>
      </c>
      <c r="I179" s="43"/>
      <c r="J179" s="43" t="s">
        <v>462</v>
      </c>
      <c r="K179" s="14" t="s">
        <v>295</v>
      </c>
      <c r="L179" s="28"/>
      <c r="M179" s="2"/>
      <c r="N179" s="14" t="s">
        <v>297</v>
      </c>
      <c r="O179" s="2"/>
      <c r="P179" s="2"/>
      <c r="Q179" s="14" t="s">
        <v>159</v>
      </c>
      <c r="R179" s="43"/>
      <c r="S179" s="43">
        <v>3</v>
      </c>
      <c r="T179" s="2"/>
      <c r="U179" s="2"/>
      <c r="V179" s="25" t="s">
        <v>1243</v>
      </c>
      <c r="W179" s="17">
        <v>0.2</v>
      </c>
      <c r="X179" s="17">
        <v>0.15</v>
      </c>
      <c r="Y179" s="17">
        <v>0.65</v>
      </c>
      <c r="Z179" s="17">
        <v>0.05</v>
      </c>
      <c r="AA179" s="18" t="b">
        <f>FALSE()</f>
        <v>0</v>
      </c>
      <c r="AB179" s="18" t="s">
        <v>98</v>
      </c>
      <c r="AC179" s="19">
        <v>0.214</v>
      </c>
      <c r="AD179" s="19">
        <v>0</v>
      </c>
      <c r="AE179" s="19">
        <v>0</v>
      </c>
      <c r="AF179" s="19">
        <v>9.5000000000000001E-2</v>
      </c>
      <c r="AG179" s="19">
        <v>0</v>
      </c>
      <c r="AH179" s="19">
        <v>0</v>
      </c>
      <c r="AI179" s="19">
        <v>0.64300000000000002</v>
      </c>
      <c r="AJ179" s="19">
        <v>4.8000000000000001E-2</v>
      </c>
      <c r="AK179" s="18" t="s">
        <v>299</v>
      </c>
      <c r="AL179">
        <v>0.17</v>
      </c>
      <c r="AM179">
        <v>0</v>
      </c>
      <c r="AN179">
        <v>0.33</v>
      </c>
      <c r="AO179">
        <v>0.83</v>
      </c>
      <c r="AP179">
        <v>0.83</v>
      </c>
      <c r="AQ179">
        <v>0.33</v>
      </c>
      <c r="AR179">
        <v>0</v>
      </c>
      <c r="BF179" t="s">
        <v>247</v>
      </c>
      <c r="BG179" t="s">
        <v>248</v>
      </c>
      <c r="BH179" t="s">
        <v>249</v>
      </c>
      <c r="BI179" t="s">
        <v>1209</v>
      </c>
      <c r="BJ179">
        <v>0</v>
      </c>
    </row>
    <row r="180" spans="1:62" ht="15.75" customHeight="1" x14ac:dyDescent="0.2">
      <c r="A180" s="42" t="s">
        <v>1210</v>
      </c>
      <c r="B180" s="43" t="s">
        <v>1211</v>
      </c>
      <c r="C180" s="2">
        <v>2013</v>
      </c>
      <c r="D180" s="43" t="s">
        <v>1212</v>
      </c>
      <c r="E180" s="14" t="s">
        <v>788</v>
      </c>
      <c r="F180" s="14" t="s">
        <v>789</v>
      </c>
      <c r="G180" s="43" t="s">
        <v>329</v>
      </c>
      <c r="H180" s="14" t="s">
        <v>108</v>
      </c>
      <c r="I180" s="43"/>
      <c r="J180" s="43" t="s">
        <v>462</v>
      </c>
      <c r="K180" s="14" t="s">
        <v>295</v>
      </c>
      <c r="L180" s="28"/>
      <c r="M180" s="2"/>
      <c r="N180" s="14" t="s">
        <v>297</v>
      </c>
      <c r="O180" s="2"/>
      <c r="P180" s="2"/>
      <c r="Q180" s="14" t="s">
        <v>159</v>
      </c>
      <c r="R180" s="43"/>
      <c r="S180" s="43">
        <v>3</v>
      </c>
      <c r="T180" s="2"/>
      <c r="U180" s="2"/>
      <c r="V180" s="25" t="s">
        <v>1243</v>
      </c>
      <c r="W180" s="17">
        <v>0.2</v>
      </c>
      <c r="X180" s="17">
        <v>0.15</v>
      </c>
      <c r="Y180" s="17">
        <v>0.65</v>
      </c>
      <c r="Z180" s="17">
        <v>0.05</v>
      </c>
      <c r="AA180" s="18" t="b">
        <f>FALSE()</f>
        <v>0</v>
      </c>
      <c r="AB180" s="18" t="s">
        <v>98</v>
      </c>
      <c r="AC180" s="19">
        <v>0.214</v>
      </c>
      <c r="AD180" s="19">
        <v>0</v>
      </c>
      <c r="AE180" s="19">
        <v>0</v>
      </c>
      <c r="AF180" s="19">
        <v>9.5000000000000001E-2</v>
      </c>
      <c r="AG180" s="19">
        <v>0</v>
      </c>
      <c r="AH180" s="19">
        <v>0</v>
      </c>
      <c r="AI180" s="19">
        <v>0.64300000000000002</v>
      </c>
      <c r="AJ180" s="19">
        <v>4.8000000000000001E-2</v>
      </c>
      <c r="AK180" s="18" t="s">
        <v>299</v>
      </c>
      <c r="AL180">
        <v>0.17</v>
      </c>
      <c r="AM180">
        <v>0</v>
      </c>
      <c r="AN180">
        <v>0.33</v>
      </c>
      <c r="AO180">
        <v>0.83</v>
      </c>
      <c r="AP180">
        <v>0.67</v>
      </c>
      <c r="AQ180">
        <v>0.33</v>
      </c>
      <c r="AR180">
        <v>0</v>
      </c>
      <c r="BF180" t="s">
        <v>247</v>
      </c>
      <c r="BG180" t="s">
        <v>248</v>
      </c>
      <c r="BH180" t="s">
        <v>249</v>
      </c>
      <c r="BI180" t="s">
        <v>1213</v>
      </c>
      <c r="BJ180">
        <v>0</v>
      </c>
    </row>
    <row r="181" spans="1:62" ht="30" customHeight="1" x14ac:dyDescent="0.2">
      <c r="A181" s="46" t="s">
        <v>1214</v>
      </c>
      <c r="B181" s="47" t="s">
        <v>1215</v>
      </c>
      <c r="C181" s="48">
        <v>2013</v>
      </c>
      <c r="D181" s="47" t="s">
        <v>1216</v>
      </c>
      <c r="E181" s="21" t="s">
        <v>89</v>
      </c>
      <c r="F181" s="21" t="s">
        <v>106</v>
      </c>
      <c r="G181" s="47" t="s">
        <v>107</v>
      </c>
      <c r="H181" s="21" t="s">
        <v>108</v>
      </c>
      <c r="I181" s="47"/>
      <c r="J181" s="47" t="s">
        <v>109</v>
      </c>
      <c r="K181" s="21" t="s">
        <v>93</v>
      </c>
      <c r="L181" s="35"/>
      <c r="M181" s="49" t="s">
        <v>1217</v>
      </c>
      <c r="N181" s="21" t="s">
        <v>111</v>
      </c>
      <c r="O181" s="35" t="s">
        <v>1218</v>
      </c>
      <c r="P181" s="35"/>
      <c r="Q181" s="35" t="s">
        <v>113</v>
      </c>
      <c r="R181" s="35"/>
      <c r="S181" s="47">
        <v>4</v>
      </c>
      <c r="T181" s="35" t="s">
        <v>2124</v>
      </c>
      <c r="U181" s="35"/>
      <c r="V181" s="14" t="s">
        <v>97</v>
      </c>
      <c r="W181" s="17">
        <v>0.3</v>
      </c>
      <c r="X181" s="17">
        <v>0.4</v>
      </c>
      <c r="Y181" s="17">
        <v>0.65</v>
      </c>
      <c r="Z181" s="17">
        <v>0.55000000000000004</v>
      </c>
      <c r="AA181" s="18" t="b">
        <f>FALSE()</f>
        <v>0</v>
      </c>
      <c r="AB181" s="18" t="s">
        <v>98</v>
      </c>
      <c r="AC181" s="19">
        <v>0.312</v>
      </c>
      <c r="AD181" s="19">
        <v>0.625</v>
      </c>
      <c r="AE181" s="19">
        <v>0</v>
      </c>
      <c r="AF181" s="19">
        <v>6.2E-2</v>
      </c>
      <c r="AG181" s="19">
        <v>0</v>
      </c>
      <c r="AH181" s="19">
        <v>0</v>
      </c>
      <c r="AI181" s="19">
        <v>0</v>
      </c>
      <c r="AJ181" s="19">
        <v>0</v>
      </c>
      <c r="AK181" s="18" t="s">
        <v>89</v>
      </c>
      <c r="BF181" t="s">
        <v>99</v>
      </c>
      <c r="BH181" t="s">
        <v>100</v>
      </c>
      <c r="BI181" t="s">
        <v>101</v>
      </c>
    </row>
    <row r="182" spans="1:62" ht="30.75" customHeight="1" x14ac:dyDescent="0.2">
      <c r="A182" s="46" t="s">
        <v>1219</v>
      </c>
      <c r="B182" s="47" t="s">
        <v>1220</v>
      </c>
      <c r="C182" s="48">
        <v>2013</v>
      </c>
      <c r="D182" s="47" t="s">
        <v>1221</v>
      </c>
      <c r="E182" s="21" t="s">
        <v>89</v>
      </c>
      <c r="F182" s="21" t="s">
        <v>106</v>
      </c>
      <c r="G182" s="47" t="s">
        <v>107</v>
      </c>
      <c r="H182" s="21" t="s">
        <v>108</v>
      </c>
      <c r="I182" s="47"/>
      <c r="J182" s="47" t="s">
        <v>109</v>
      </c>
      <c r="K182" s="21" t="s">
        <v>93</v>
      </c>
      <c r="L182" s="35"/>
      <c r="M182" s="49" t="s">
        <v>1222</v>
      </c>
      <c r="N182" s="21" t="s">
        <v>111</v>
      </c>
      <c r="O182" s="35" t="s">
        <v>1081</v>
      </c>
      <c r="P182" s="35"/>
      <c r="Q182" s="47" t="s">
        <v>2122</v>
      </c>
      <c r="R182" s="47"/>
      <c r="S182" s="47">
        <v>4</v>
      </c>
      <c r="T182" s="35"/>
      <c r="U182" s="35"/>
      <c r="V182" s="14" t="s">
        <v>97</v>
      </c>
      <c r="W182" s="17">
        <v>0.3</v>
      </c>
      <c r="X182" s="17">
        <v>0.4</v>
      </c>
      <c r="Y182" s="17">
        <v>0.65</v>
      </c>
      <c r="Z182" s="17">
        <v>0.55000000000000004</v>
      </c>
      <c r="AA182" s="18" t="b">
        <f>FALSE()</f>
        <v>0</v>
      </c>
      <c r="AB182" s="18" t="s">
        <v>98</v>
      </c>
      <c r="AC182" s="19">
        <v>0.312</v>
      </c>
      <c r="AD182" s="19">
        <v>0.625</v>
      </c>
      <c r="AE182" s="19">
        <v>0</v>
      </c>
      <c r="AF182" s="19">
        <v>6.2E-2</v>
      </c>
      <c r="AG182" s="19">
        <v>0</v>
      </c>
      <c r="AH182" s="19">
        <v>0</v>
      </c>
      <c r="AI182" s="19">
        <v>0</v>
      </c>
      <c r="AJ182" s="19">
        <v>0</v>
      </c>
      <c r="AK182" s="18" t="s">
        <v>89</v>
      </c>
      <c r="BF182" t="s">
        <v>99</v>
      </c>
      <c r="BH182" t="s">
        <v>100</v>
      </c>
      <c r="BI182" t="s">
        <v>101</v>
      </c>
    </row>
    <row r="183" spans="1:62" ht="40.5" customHeight="1" x14ac:dyDescent="0.2">
      <c r="A183" s="46" t="s">
        <v>1681</v>
      </c>
      <c r="B183" s="47" t="s">
        <v>1682</v>
      </c>
      <c r="C183" s="104">
        <v>2015</v>
      </c>
      <c r="D183" s="52" t="s">
        <v>1683</v>
      </c>
      <c r="E183" s="102" t="s">
        <v>737</v>
      </c>
      <c r="F183" s="21" t="s">
        <v>857</v>
      </c>
      <c r="G183" s="47" t="s">
        <v>131</v>
      </c>
      <c r="H183" s="21" t="s">
        <v>108</v>
      </c>
      <c r="I183" s="47"/>
      <c r="J183" s="47" t="s">
        <v>132</v>
      </c>
      <c r="K183" s="21" t="s">
        <v>859</v>
      </c>
      <c r="L183" s="102"/>
      <c r="M183" s="109" t="s">
        <v>1668</v>
      </c>
      <c r="N183" s="21" t="s">
        <v>111</v>
      </c>
      <c r="O183" s="102" t="s">
        <v>1684</v>
      </c>
      <c r="P183" s="102"/>
      <c r="Q183" s="47"/>
      <c r="R183" s="47"/>
      <c r="S183" s="47">
        <v>3</v>
      </c>
      <c r="T183" s="102" t="s">
        <v>1685</v>
      </c>
      <c r="U183" s="102" t="s">
        <v>1686</v>
      </c>
      <c r="V183" s="21" t="s">
        <v>861</v>
      </c>
      <c r="W183" s="17">
        <v>0.9</v>
      </c>
      <c r="X183" s="17">
        <v>0.77</v>
      </c>
      <c r="Y183" s="17">
        <v>0.4</v>
      </c>
      <c r="Z183" s="17">
        <v>1</v>
      </c>
      <c r="AA183" s="18" t="b">
        <f>TRUE()</f>
        <v>1</v>
      </c>
      <c r="AB183" s="18" t="s">
        <v>246</v>
      </c>
      <c r="AC183" s="19">
        <v>0</v>
      </c>
      <c r="AD183" s="19">
        <v>0</v>
      </c>
      <c r="AE183" s="19">
        <v>0.81399999999999995</v>
      </c>
      <c r="AF183" s="19">
        <v>0.186</v>
      </c>
      <c r="AG183" s="19">
        <v>0</v>
      </c>
      <c r="AH183" s="19">
        <v>0</v>
      </c>
      <c r="AI183" s="19">
        <v>0</v>
      </c>
      <c r="AJ183" s="19">
        <v>0</v>
      </c>
      <c r="AK183" s="18" t="s">
        <v>342</v>
      </c>
      <c r="BF183" t="s">
        <v>99</v>
      </c>
      <c r="BH183" t="s">
        <v>100</v>
      </c>
      <c r="BI183" t="s">
        <v>101</v>
      </c>
    </row>
    <row r="184" spans="1:62" ht="15.75" customHeight="1" x14ac:dyDescent="0.2">
      <c r="A184" s="2" t="s">
        <v>1744</v>
      </c>
      <c r="B184" s="2" t="s">
        <v>714</v>
      </c>
      <c r="C184" s="2">
        <v>1939</v>
      </c>
      <c r="D184" s="2" t="s">
        <v>1745</v>
      </c>
      <c r="E184" s="52" t="s">
        <v>716</v>
      </c>
      <c r="F184" s="2" t="s">
        <v>292</v>
      </c>
      <c r="G184" s="52" t="s">
        <v>329</v>
      </c>
      <c r="H184" s="52" t="s">
        <v>91</v>
      </c>
      <c r="I184" s="2" t="s">
        <v>1746</v>
      </c>
      <c r="J184" s="2" t="s">
        <v>718</v>
      </c>
      <c r="K184" s="25" t="s">
        <v>295</v>
      </c>
      <c r="L184" s="2"/>
      <c r="M184" s="2" t="s">
        <v>1746</v>
      </c>
      <c r="N184" s="25" t="s">
        <v>297</v>
      </c>
      <c r="O184" s="2" t="s">
        <v>721</v>
      </c>
      <c r="P184" s="2"/>
      <c r="Q184" s="2"/>
      <c r="R184" s="2"/>
      <c r="S184" s="52">
        <v>4</v>
      </c>
      <c r="T184" s="2"/>
      <c r="U184" s="2"/>
      <c r="V184" s="25" t="s">
        <v>725</v>
      </c>
      <c r="AK184" t="s">
        <v>299</v>
      </c>
      <c r="AL184">
        <v>0</v>
      </c>
      <c r="AM184">
        <v>0</v>
      </c>
      <c r="AN184">
        <v>0.33</v>
      </c>
      <c r="AO184">
        <v>0</v>
      </c>
      <c r="AP184">
        <v>0.5</v>
      </c>
      <c r="AQ184">
        <v>0</v>
      </c>
      <c r="AR184">
        <v>0</v>
      </c>
      <c r="AS184" t="s">
        <v>299</v>
      </c>
      <c r="AT184" t="s">
        <v>1747</v>
      </c>
      <c r="AV184" t="s">
        <v>1748</v>
      </c>
      <c r="BF184" t="s">
        <v>247</v>
      </c>
      <c r="BG184" t="s">
        <v>265</v>
      </c>
      <c r="BH184" s="86" t="s">
        <v>2034</v>
      </c>
      <c r="BI184" t="s">
        <v>1702</v>
      </c>
      <c r="BJ184">
        <v>0</v>
      </c>
    </row>
    <row r="185" spans="1:62" ht="15.75" customHeight="1" x14ac:dyDescent="0.2">
      <c r="A185" s="51" t="s">
        <v>1245</v>
      </c>
      <c r="B185" s="28" t="s">
        <v>1246</v>
      </c>
      <c r="C185" s="44">
        <v>2013</v>
      </c>
      <c r="D185" s="28" t="s">
        <v>1247</v>
      </c>
      <c r="E185" s="43" t="s">
        <v>788</v>
      </c>
      <c r="F185" s="28" t="s">
        <v>789</v>
      </c>
      <c r="G185" s="43" t="s">
        <v>131</v>
      </c>
      <c r="H185" s="43" t="s">
        <v>108</v>
      </c>
      <c r="I185" s="28"/>
      <c r="J185" s="28" t="s">
        <v>1248</v>
      </c>
      <c r="K185" s="14" t="s">
        <v>295</v>
      </c>
      <c r="L185" s="28"/>
      <c r="M185" s="45" t="s">
        <v>1249</v>
      </c>
      <c r="N185" s="14" t="s">
        <v>297</v>
      </c>
      <c r="O185" s="28" t="s">
        <v>1240</v>
      </c>
      <c r="P185" s="28" t="s">
        <v>1241</v>
      </c>
      <c r="Q185" s="28" t="s">
        <v>901</v>
      </c>
      <c r="R185" s="28"/>
      <c r="S185" s="43">
        <v>3</v>
      </c>
      <c r="T185" s="28"/>
      <c r="U185" s="28"/>
      <c r="V185" s="14" t="s">
        <v>902</v>
      </c>
      <c r="W185" s="17">
        <v>0.2</v>
      </c>
      <c r="X185" s="17">
        <v>0.15</v>
      </c>
      <c r="Y185" s="17">
        <v>0.65</v>
      </c>
      <c r="Z185" s="17">
        <v>0.05</v>
      </c>
      <c r="AA185" s="18" t="b">
        <f>FALSE()</f>
        <v>0</v>
      </c>
      <c r="AB185" s="18" t="s">
        <v>98</v>
      </c>
      <c r="AC185" s="19">
        <v>0.214</v>
      </c>
      <c r="AD185" s="19">
        <v>0</v>
      </c>
      <c r="AE185" s="19">
        <v>0</v>
      </c>
      <c r="AF185" s="19">
        <v>9.5000000000000001E-2</v>
      </c>
      <c r="AG185" s="19">
        <v>0</v>
      </c>
      <c r="AH185" s="19">
        <v>0</v>
      </c>
      <c r="AI185" s="19">
        <v>0.64300000000000002</v>
      </c>
      <c r="AJ185" s="19">
        <v>4.8000000000000001E-2</v>
      </c>
      <c r="AK185" s="18" t="s">
        <v>299</v>
      </c>
      <c r="BF185" t="s">
        <v>99</v>
      </c>
      <c r="BH185" t="s">
        <v>100</v>
      </c>
      <c r="BI185" t="s">
        <v>101</v>
      </c>
    </row>
    <row r="186" spans="1:62" ht="15.75" customHeight="1" x14ac:dyDescent="0.2">
      <c r="A186" s="2" t="s">
        <v>1749</v>
      </c>
      <c r="B186" s="2" t="s">
        <v>714</v>
      </c>
      <c r="C186" s="2">
        <v>1939</v>
      </c>
      <c r="D186" s="2" t="s">
        <v>1750</v>
      </c>
      <c r="E186" s="52" t="s">
        <v>716</v>
      </c>
      <c r="F186" s="2" t="s">
        <v>292</v>
      </c>
      <c r="G186" s="52" t="s">
        <v>329</v>
      </c>
      <c r="H186" s="52" t="s">
        <v>91</v>
      </c>
      <c r="I186" s="2" t="s">
        <v>1751</v>
      </c>
      <c r="J186" s="2" t="s">
        <v>718</v>
      </c>
      <c r="K186" s="25" t="s">
        <v>295</v>
      </c>
      <c r="L186" s="2"/>
      <c r="M186" s="2" t="s">
        <v>1751</v>
      </c>
      <c r="N186" s="25" t="s">
        <v>297</v>
      </c>
      <c r="O186" s="2" t="s">
        <v>721</v>
      </c>
      <c r="P186" s="2"/>
      <c r="Q186" s="2"/>
      <c r="R186" s="2"/>
      <c r="S186" s="52">
        <v>4</v>
      </c>
      <c r="T186" s="2"/>
      <c r="U186" s="2"/>
      <c r="V186" s="25" t="s">
        <v>725</v>
      </c>
      <c r="AK186" t="s">
        <v>299</v>
      </c>
      <c r="AL186">
        <v>0</v>
      </c>
      <c r="AM186">
        <v>0</v>
      </c>
      <c r="AN186">
        <v>0</v>
      </c>
      <c r="AO186">
        <v>0</v>
      </c>
      <c r="AP186">
        <v>0</v>
      </c>
      <c r="AQ186">
        <v>0</v>
      </c>
      <c r="AR186">
        <v>0</v>
      </c>
      <c r="AS186" t="s">
        <v>299</v>
      </c>
      <c r="AT186" t="s">
        <v>1721</v>
      </c>
      <c r="AV186" t="s">
        <v>1752</v>
      </c>
      <c r="BF186" t="s">
        <v>247</v>
      </c>
      <c r="BG186" t="s">
        <v>265</v>
      </c>
      <c r="BH186" s="86" t="s">
        <v>2034</v>
      </c>
      <c r="BI186" t="s">
        <v>1702</v>
      </c>
    </row>
    <row r="187" spans="1:62" ht="15.75" customHeight="1" x14ac:dyDescent="0.2">
      <c r="A187" s="2" t="s">
        <v>1753</v>
      </c>
      <c r="B187" s="99" t="s">
        <v>714</v>
      </c>
      <c r="C187" s="99">
        <v>1939</v>
      </c>
      <c r="D187" s="99" t="s">
        <v>1754</v>
      </c>
      <c r="E187" s="52" t="s">
        <v>716</v>
      </c>
      <c r="F187" s="99" t="s">
        <v>292</v>
      </c>
      <c r="G187" s="52" t="s">
        <v>329</v>
      </c>
      <c r="H187" s="52" t="s">
        <v>91</v>
      </c>
      <c r="I187" s="99" t="s">
        <v>1755</v>
      </c>
      <c r="J187" s="99" t="s">
        <v>718</v>
      </c>
      <c r="K187" s="25" t="s">
        <v>295</v>
      </c>
      <c r="L187" s="99"/>
      <c r="M187" s="99"/>
      <c r="N187" s="25" t="s">
        <v>297</v>
      </c>
      <c r="O187" s="99" t="s">
        <v>721</v>
      </c>
      <c r="P187" s="99"/>
      <c r="Q187" s="99"/>
      <c r="R187" s="99"/>
      <c r="S187" s="52">
        <v>4</v>
      </c>
      <c r="T187" s="99"/>
      <c r="U187" s="99"/>
      <c r="V187" s="25" t="s">
        <v>725</v>
      </c>
      <c r="AK187" t="s">
        <v>299</v>
      </c>
      <c r="AS187" t="s">
        <v>299</v>
      </c>
      <c r="BF187" t="s">
        <v>99</v>
      </c>
      <c r="BH187" s="86" t="s">
        <v>2034</v>
      </c>
      <c r="BI187" t="s">
        <v>1756</v>
      </c>
    </row>
    <row r="188" spans="1:62" ht="15.75" customHeight="1" x14ac:dyDescent="0.2">
      <c r="A188" s="2"/>
      <c r="B188" s="35" t="s">
        <v>1261</v>
      </c>
      <c r="C188" s="2">
        <v>2013</v>
      </c>
      <c r="D188" s="35" t="s">
        <v>1262</v>
      </c>
      <c r="E188" s="47" t="s">
        <v>788</v>
      </c>
      <c r="F188" s="35" t="s">
        <v>789</v>
      </c>
      <c r="G188" s="47" t="s">
        <v>1263</v>
      </c>
      <c r="H188" s="47" t="s">
        <v>1264</v>
      </c>
      <c r="I188" s="2"/>
      <c r="J188" s="35" t="s">
        <v>1263</v>
      </c>
      <c r="K188" s="26" t="s">
        <v>1265</v>
      </c>
      <c r="L188" s="2"/>
      <c r="M188" s="2"/>
      <c r="N188" s="21" t="s">
        <v>297</v>
      </c>
      <c r="O188" s="2" t="s">
        <v>165</v>
      </c>
      <c r="P188" s="2"/>
      <c r="Q188" s="2" t="s">
        <v>822</v>
      </c>
      <c r="R188" s="2"/>
      <c r="S188" s="52"/>
      <c r="T188" s="50" t="s">
        <v>1266</v>
      </c>
      <c r="U188" s="50" t="s">
        <v>1267</v>
      </c>
      <c r="V188" s="21" t="s">
        <v>1268</v>
      </c>
      <c r="AA188" t="b">
        <f>FALSE()</f>
        <v>0</v>
      </c>
      <c r="AB188" s="2" t="s">
        <v>1263</v>
      </c>
      <c r="AK188" s="2" t="s">
        <v>333</v>
      </c>
      <c r="BF188" t="s">
        <v>99</v>
      </c>
      <c r="BH188" t="s">
        <v>100</v>
      </c>
      <c r="BI188" t="s">
        <v>101</v>
      </c>
    </row>
    <row r="189" spans="1:62" ht="15.75" customHeight="1" x14ac:dyDescent="0.2">
      <c r="A189" s="99" t="s">
        <v>1703</v>
      </c>
      <c r="B189" s="99" t="s">
        <v>714</v>
      </c>
      <c r="C189" s="99">
        <v>1939</v>
      </c>
      <c r="D189" s="99" t="s">
        <v>1704</v>
      </c>
      <c r="E189" s="99" t="s">
        <v>716</v>
      </c>
      <c r="F189" s="99" t="s">
        <v>292</v>
      </c>
      <c r="G189" s="99" t="s">
        <v>329</v>
      </c>
      <c r="H189" s="99" t="s">
        <v>91</v>
      </c>
      <c r="I189" s="99" t="s">
        <v>1705</v>
      </c>
      <c r="J189" s="99" t="s">
        <v>718</v>
      </c>
      <c r="K189" s="99" t="s">
        <v>295</v>
      </c>
      <c r="L189" s="99"/>
      <c r="M189" s="99" t="s">
        <v>1705</v>
      </c>
      <c r="N189" s="99" t="s">
        <v>297</v>
      </c>
      <c r="O189" s="99" t="s">
        <v>721</v>
      </c>
      <c r="P189" s="99"/>
      <c r="Q189" s="99"/>
      <c r="R189" s="99"/>
      <c r="S189" s="99">
        <v>4</v>
      </c>
      <c r="T189" s="99"/>
      <c r="U189" s="99"/>
      <c r="V189" s="99" t="s">
        <v>725</v>
      </c>
      <c r="AK189" t="s">
        <v>299</v>
      </c>
      <c r="AL189">
        <v>0</v>
      </c>
      <c r="AM189">
        <v>0</v>
      </c>
      <c r="AN189">
        <v>0.33</v>
      </c>
      <c r="AO189">
        <v>0.17</v>
      </c>
      <c r="AP189">
        <v>0.33</v>
      </c>
      <c r="AQ189">
        <v>0</v>
      </c>
      <c r="AR189">
        <v>0</v>
      </c>
      <c r="AS189" t="s">
        <v>299</v>
      </c>
      <c r="AT189" t="s">
        <v>1706</v>
      </c>
      <c r="AV189" t="s">
        <v>1707</v>
      </c>
      <c r="BF189" t="s">
        <v>247</v>
      </c>
      <c r="BG189" t="s">
        <v>615</v>
      </c>
      <c r="BH189" s="86" t="s">
        <v>2034</v>
      </c>
      <c r="BI189" t="s">
        <v>1702</v>
      </c>
      <c r="BJ189">
        <v>0</v>
      </c>
    </row>
    <row r="190" spans="1:62" ht="31.5" customHeight="1" x14ac:dyDescent="0.2">
      <c r="A190" s="51" t="s">
        <v>1270</v>
      </c>
      <c r="B190" s="28" t="s">
        <v>1271</v>
      </c>
      <c r="C190" s="2">
        <v>2014</v>
      </c>
      <c r="D190" s="28" t="s">
        <v>1272</v>
      </c>
      <c r="E190" s="14" t="s">
        <v>788</v>
      </c>
      <c r="F190" s="14" t="s">
        <v>789</v>
      </c>
      <c r="G190" s="14" t="s">
        <v>329</v>
      </c>
      <c r="H190" s="14" t="s">
        <v>108</v>
      </c>
      <c r="I190" s="14"/>
      <c r="J190" s="14" t="s">
        <v>462</v>
      </c>
      <c r="K190" s="14" t="s">
        <v>295</v>
      </c>
      <c r="L190" s="14"/>
      <c r="M190" s="25"/>
      <c r="N190" s="14" t="s">
        <v>297</v>
      </c>
      <c r="O190" s="25"/>
      <c r="P190" s="25"/>
      <c r="Q190" s="14" t="s">
        <v>159</v>
      </c>
      <c r="R190" s="14"/>
      <c r="S190" s="14">
        <v>3</v>
      </c>
      <c r="T190" s="2" t="s">
        <v>1273</v>
      </c>
      <c r="U190" s="2"/>
      <c r="V190" s="25" t="s">
        <v>1243</v>
      </c>
      <c r="W190" s="17">
        <v>0.2</v>
      </c>
      <c r="X190" s="17">
        <v>0.15</v>
      </c>
      <c r="Y190" s="17">
        <v>0.65</v>
      </c>
      <c r="Z190" s="17">
        <v>0.05</v>
      </c>
      <c r="AA190" s="18" t="b">
        <f>FALSE()</f>
        <v>0</v>
      </c>
      <c r="AB190" s="18" t="s">
        <v>98</v>
      </c>
      <c r="AC190" s="19">
        <v>0.214</v>
      </c>
      <c r="AD190" s="19">
        <v>0</v>
      </c>
      <c r="AE190" s="19">
        <v>0</v>
      </c>
      <c r="AF190" s="19">
        <v>9.5000000000000001E-2</v>
      </c>
      <c r="AG190" s="19">
        <v>0</v>
      </c>
      <c r="AH190" s="19">
        <v>0</v>
      </c>
      <c r="AI190" s="19">
        <v>0.64300000000000002</v>
      </c>
      <c r="AJ190" s="19">
        <v>4.8000000000000001E-2</v>
      </c>
      <c r="AK190" s="18" t="s">
        <v>299</v>
      </c>
      <c r="AL190">
        <v>0.17</v>
      </c>
      <c r="AM190">
        <v>0</v>
      </c>
      <c r="AN190">
        <v>0.33</v>
      </c>
      <c r="AO190">
        <v>0.83</v>
      </c>
      <c r="AP190">
        <v>0.83</v>
      </c>
      <c r="AQ190">
        <v>0.33</v>
      </c>
      <c r="AR190">
        <v>0</v>
      </c>
      <c r="BF190" t="s">
        <v>247</v>
      </c>
      <c r="BG190" t="s">
        <v>248</v>
      </c>
      <c r="BH190" t="s">
        <v>249</v>
      </c>
      <c r="BI190" t="s">
        <v>1274</v>
      </c>
      <c r="BJ190">
        <v>0</v>
      </c>
    </row>
    <row r="191" spans="1:62" ht="15.75" customHeight="1" x14ac:dyDescent="0.2">
      <c r="A191" s="2"/>
      <c r="B191" s="103" t="s">
        <v>1491</v>
      </c>
      <c r="C191" s="2">
        <v>2017</v>
      </c>
      <c r="D191" s="2" t="s">
        <v>1492</v>
      </c>
      <c r="E191" s="2"/>
      <c r="F191" s="2"/>
      <c r="G191" s="2"/>
      <c r="H191" s="2"/>
      <c r="I191" s="2"/>
      <c r="J191" s="2"/>
      <c r="K191" s="2"/>
      <c r="L191" s="2"/>
      <c r="M191" s="2" t="s">
        <v>1493</v>
      </c>
      <c r="N191" s="103" t="s">
        <v>256</v>
      </c>
      <c r="O191" s="2" t="s">
        <v>609</v>
      </c>
      <c r="P191" s="2"/>
      <c r="Q191" s="2"/>
      <c r="R191" s="2"/>
      <c r="S191" s="2"/>
      <c r="T191" s="2" t="s">
        <v>1494</v>
      </c>
      <c r="U191" s="2"/>
      <c r="V191" s="2"/>
      <c r="W191" s="17">
        <v>0.4</v>
      </c>
      <c r="X191" s="17">
        <v>0.4</v>
      </c>
      <c r="Y191" s="17">
        <v>0.35</v>
      </c>
      <c r="Z191" s="17">
        <v>0.5</v>
      </c>
      <c r="AA191" s="18" t="b">
        <f>TRUE()</f>
        <v>1</v>
      </c>
      <c r="AB191" s="18" t="s">
        <v>246</v>
      </c>
      <c r="AC191" s="19">
        <v>0.125</v>
      </c>
      <c r="AD191" s="19">
        <v>0.125</v>
      </c>
      <c r="AE191" s="19">
        <v>0.125</v>
      </c>
      <c r="AF191" s="19">
        <v>0.125</v>
      </c>
      <c r="AG191" s="19">
        <v>0.125</v>
      </c>
      <c r="AH191" s="19">
        <v>0.125</v>
      </c>
      <c r="AI191" s="19">
        <v>0.125</v>
      </c>
      <c r="AJ191" s="19">
        <v>0.125</v>
      </c>
      <c r="AK191" s="18" t="s">
        <v>333</v>
      </c>
      <c r="BF191" t="s">
        <v>99</v>
      </c>
      <c r="BH191" t="s">
        <v>334</v>
      </c>
      <c r="BI191" t="s">
        <v>1495</v>
      </c>
    </row>
    <row r="192" spans="1:62" ht="15.75" customHeight="1" x14ac:dyDescent="0.2">
      <c r="A192" s="2" t="s">
        <v>1020</v>
      </c>
      <c r="B192" s="2" t="s">
        <v>1021</v>
      </c>
      <c r="C192" s="2">
        <v>2001</v>
      </c>
      <c r="D192" s="2" t="s">
        <v>1022</v>
      </c>
      <c r="E192" s="28" t="s">
        <v>231</v>
      </c>
      <c r="F192" s="2" t="s">
        <v>1278</v>
      </c>
      <c r="G192" s="2" t="s">
        <v>131</v>
      </c>
      <c r="H192" s="2" t="s">
        <v>108</v>
      </c>
      <c r="I192" s="2" t="s">
        <v>2043</v>
      </c>
      <c r="J192" s="2"/>
      <c r="K192" s="25"/>
      <c r="L192" s="2" t="s">
        <v>2039</v>
      </c>
      <c r="M192" s="2" t="s">
        <v>2041</v>
      </c>
      <c r="N192" s="28" t="s">
        <v>199</v>
      </c>
      <c r="O192" s="2" t="s">
        <v>1024</v>
      </c>
      <c r="P192" s="2"/>
      <c r="Q192" s="2" t="s">
        <v>113</v>
      </c>
      <c r="R192" s="2"/>
      <c r="S192" s="28">
        <v>2</v>
      </c>
      <c r="T192" s="2" t="s">
        <v>2040</v>
      </c>
      <c r="U192" s="2" t="s">
        <v>2042</v>
      </c>
      <c r="V192" s="2" t="s">
        <v>1025</v>
      </c>
      <c r="W192" s="17">
        <v>0.5</v>
      </c>
      <c r="X192" s="17">
        <v>0.3</v>
      </c>
      <c r="Y192" s="17">
        <v>0.1</v>
      </c>
      <c r="Z192" s="17">
        <v>0.6</v>
      </c>
      <c r="AA192" s="18" t="b">
        <v>0</v>
      </c>
      <c r="AB192" s="18" t="s">
        <v>98</v>
      </c>
      <c r="AC192" s="19">
        <v>0.107</v>
      </c>
      <c r="AD192" s="19">
        <v>0.107</v>
      </c>
      <c r="AE192" s="19">
        <v>0.17899999999999999</v>
      </c>
      <c r="AF192" s="19">
        <v>0.107</v>
      </c>
      <c r="AG192" s="19">
        <v>0.107</v>
      </c>
      <c r="AH192" s="19">
        <v>0.17899999999999999</v>
      </c>
      <c r="AI192" s="19">
        <v>0.107</v>
      </c>
      <c r="AJ192" s="19">
        <v>0.107</v>
      </c>
      <c r="AK192" s="18" t="s">
        <v>342</v>
      </c>
      <c r="BF192" t="s">
        <v>99</v>
      </c>
      <c r="BH192" t="s">
        <v>334</v>
      </c>
      <c r="BI192" t="s">
        <v>1026</v>
      </c>
    </row>
    <row r="193" spans="1:62" ht="15.75" customHeight="1" x14ac:dyDescent="0.2">
      <c r="A193" s="99" t="s">
        <v>1708</v>
      </c>
      <c r="B193" s="99" t="s">
        <v>714</v>
      </c>
      <c r="C193" s="99">
        <v>1939</v>
      </c>
      <c r="D193" s="99" t="s">
        <v>1709</v>
      </c>
      <c r="E193" s="99" t="s">
        <v>716</v>
      </c>
      <c r="F193" s="99" t="s">
        <v>292</v>
      </c>
      <c r="G193" s="99" t="s">
        <v>329</v>
      </c>
      <c r="H193" s="99" t="s">
        <v>91</v>
      </c>
      <c r="I193" s="99" t="s">
        <v>1710</v>
      </c>
      <c r="J193" s="99" t="s">
        <v>718</v>
      </c>
      <c r="K193" s="99" t="s">
        <v>295</v>
      </c>
      <c r="L193" s="99"/>
      <c r="M193" s="99" t="s">
        <v>1710</v>
      </c>
      <c r="N193" s="99" t="s">
        <v>297</v>
      </c>
      <c r="O193" s="99" t="s">
        <v>721</v>
      </c>
      <c r="P193" s="99"/>
      <c r="Q193" s="99"/>
      <c r="R193" s="99"/>
      <c r="S193" s="99">
        <v>4</v>
      </c>
      <c r="T193" s="99"/>
      <c r="U193" s="99"/>
      <c r="V193" s="99" t="s">
        <v>725</v>
      </c>
      <c r="AK193" t="s">
        <v>299</v>
      </c>
      <c r="AL193">
        <v>0</v>
      </c>
      <c r="AM193">
        <v>0</v>
      </c>
      <c r="AN193">
        <v>0.33</v>
      </c>
      <c r="AO193">
        <v>0.17</v>
      </c>
      <c r="AP193">
        <v>0.33</v>
      </c>
      <c r="AQ193">
        <v>0</v>
      </c>
      <c r="AR193">
        <v>0</v>
      </c>
      <c r="AS193" t="s">
        <v>299</v>
      </c>
      <c r="AT193" t="s">
        <v>1711</v>
      </c>
      <c r="AV193" t="s">
        <v>1712</v>
      </c>
      <c r="BF193" t="s">
        <v>247</v>
      </c>
      <c r="BG193" t="s">
        <v>615</v>
      </c>
      <c r="BH193" s="86" t="s">
        <v>2034</v>
      </c>
      <c r="BI193" t="s">
        <v>1702</v>
      </c>
      <c r="BJ193">
        <v>0</v>
      </c>
    </row>
    <row r="194" spans="1:62" ht="15.75" customHeight="1" x14ac:dyDescent="0.2">
      <c r="A194" s="99" t="s">
        <v>1713</v>
      </c>
      <c r="B194" s="99" t="s">
        <v>714</v>
      </c>
      <c r="C194" s="99">
        <v>1939</v>
      </c>
      <c r="D194" s="99" t="s">
        <v>1714</v>
      </c>
      <c r="E194" s="99" t="s">
        <v>716</v>
      </c>
      <c r="F194" s="99" t="s">
        <v>292</v>
      </c>
      <c r="G194" s="99" t="s">
        <v>329</v>
      </c>
      <c r="H194" s="99" t="s">
        <v>91</v>
      </c>
      <c r="I194" s="99" t="s">
        <v>1715</v>
      </c>
      <c r="J194" s="99" t="s">
        <v>718</v>
      </c>
      <c r="K194" s="99" t="s">
        <v>295</v>
      </c>
      <c r="L194" s="99"/>
      <c r="M194" s="99" t="s">
        <v>1715</v>
      </c>
      <c r="N194" s="99" t="s">
        <v>297</v>
      </c>
      <c r="O194" s="99" t="s">
        <v>721</v>
      </c>
      <c r="P194" s="99"/>
      <c r="Q194" s="99"/>
      <c r="R194" s="99"/>
      <c r="S194" s="99">
        <v>4</v>
      </c>
      <c r="T194" s="99"/>
      <c r="U194" s="99"/>
      <c r="V194" s="99" t="s">
        <v>725</v>
      </c>
      <c r="AK194" t="s">
        <v>299</v>
      </c>
      <c r="AL194">
        <v>0</v>
      </c>
      <c r="AM194">
        <v>0</v>
      </c>
      <c r="AN194">
        <v>0.33</v>
      </c>
      <c r="AO194">
        <v>0.17</v>
      </c>
      <c r="AP194">
        <v>0.5</v>
      </c>
      <c r="AQ194">
        <v>0</v>
      </c>
      <c r="AR194">
        <v>0</v>
      </c>
      <c r="AS194" t="s">
        <v>299</v>
      </c>
      <c r="AT194" t="s">
        <v>1716</v>
      </c>
      <c r="AV194" t="s">
        <v>1717</v>
      </c>
      <c r="BF194" t="s">
        <v>247</v>
      </c>
      <c r="BG194" t="s">
        <v>615</v>
      </c>
      <c r="BH194" s="86" t="s">
        <v>2034</v>
      </c>
      <c r="BI194" t="s">
        <v>1702</v>
      </c>
      <c r="BJ194">
        <v>0</v>
      </c>
    </row>
    <row r="195" spans="1:62" ht="15.75" customHeight="1" x14ac:dyDescent="0.2">
      <c r="A195" s="2" t="s">
        <v>1718</v>
      </c>
      <c r="B195" s="2" t="s">
        <v>714</v>
      </c>
      <c r="C195" s="2">
        <v>1939</v>
      </c>
      <c r="D195" s="2" t="s">
        <v>1719</v>
      </c>
      <c r="E195" s="99" t="s">
        <v>716</v>
      </c>
      <c r="F195" s="2" t="s">
        <v>292</v>
      </c>
      <c r="G195" s="99" t="s">
        <v>329</v>
      </c>
      <c r="H195" s="99" t="s">
        <v>91</v>
      </c>
      <c r="I195" s="2" t="s">
        <v>1720</v>
      </c>
      <c r="J195" s="2" t="s">
        <v>718</v>
      </c>
      <c r="K195" s="99" t="s">
        <v>295</v>
      </c>
      <c r="L195" s="2"/>
      <c r="M195" s="2" t="s">
        <v>1720</v>
      </c>
      <c r="N195" s="99" t="s">
        <v>297</v>
      </c>
      <c r="O195" s="2" t="s">
        <v>721</v>
      </c>
      <c r="P195" s="2"/>
      <c r="Q195" s="2"/>
      <c r="R195" s="2"/>
      <c r="S195" s="99">
        <v>4</v>
      </c>
      <c r="T195" s="2"/>
      <c r="U195" s="2"/>
      <c r="V195" s="99" t="s">
        <v>725</v>
      </c>
      <c r="AK195" t="s">
        <v>299</v>
      </c>
      <c r="AL195">
        <v>0</v>
      </c>
      <c r="AM195">
        <v>0</v>
      </c>
      <c r="AN195">
        <v>0.33</v>
      </c>
      <c r="AO195">
        <v>0.17</v>
      </c>
      <c r="AP195">
        <v>0.33</v>
      </c>
      <c r="AQ195">
        <v>0</v>
      </c>
      <c r="AR195">
        <v>0</v>
      </c>
      <c r="AS195" t="s">
        <v>299</v>
      </c>
      <c r="AT195" t="s">
        <v>1721</v>
      </c>
      <c r="AV195" t="s">
        <v>1722</v>
      </c>
      <c r="BF195" t="s">
        <v>247</v>
      </c>
      <c r="BG195" t="s">
        <v>265</v>
      </c>
      <c r="BH195" s="86" t="s">
        <v>2034</v>
      </c>
      <c r="BI195" t="s">
        <v>1702</v>
      </c>
      <c r="BJ195">
        <v>0</v>
      </c>
    </row>
    <row r="196" spans="1:62" ht="15.75" customHeight="1" x14ac:dyDescent="0.2">
      <c r="A196" s="2" t="s">
        <v>1723</v>
      </c>
      <c r="B196" s="2" t="s">
        <v>714</v>
      </c>
      <c r="C196" s="2">
        <v>1939</v>
      </c>
      <c r="D196" s="2" t="s">
        <v>1724</v>
      </c>
      <c r="E196" s="99" t="s">
        <v>716</v>
      </c>
      <c r="F196" s="2" t="s">
        <v>292</v>
      </c>
      <c r="G196" s="99" t="s">
        <v>329</v>
      </c>
      <c r="H196" s="99" t="s">
        <v>91</v>
      </c>
      <c r="I196" s="2" t="s">
        <v>1725</v>
      </c>
      <c r="J196" s="2" t="s">
        <v>718</v>
      </c>
      <c r="K196" s="99" t="s">
        <v>295</v>
      </c>
      <c r="L196" s="2"/>
      <c r="M196" s="2" t="s">
        <v>1725</v>
      </c>
      <c r="N196" s="99" t="s">
        <v>297</v>
      </c>
      <c r="O196" s="2" t="s">
        <v>721</v>
      </c>
      <c r="P196" s="2"/>
      <c r="Q196" s="2"/>
      <c r="R196" s="2"/>
      <c r="S196" s="99">
        <v>4</v>
      </c>
      <c r="T196" s="2"/>
      <c r="U196" s="2"/>
      <c r="V196" s="99" t="s">
        <v>725</v>
      </c>
      <c r="AK196" t="s">
        <v>299</v>
      </c>
      <c r="AL196">
        <v>0</v>
      </c>
      <c r="AM196">
        <v>0</v>
      </c>
      <c r="AN196">
        <v>0.33</v>
      </c>
      <c r="AO196">
        <v>0.17</v>
      </c>
      <c r="AP196">
        <v>0.33</v>
      </c>
      <c r="AQ196">
        <v>0</v>
      </c>
      <c r="AR196">
        <v>0</v>
      </c>
      <c r="AS196" t="s">
        <v>299</v>
      </c>
      <c r="AT196" t="s">
        <v>1721</v>
      </c>
      <c r="AV196" t="s">
        <v>1726</v>
      </c>
      <c r="BF196" t="s">
        <v>247</v>
      </c>
      <c r="BG196" t="s">
        <v>265</v>
      </c>
      <c r="BH196" s="86" t="s">
        <v>2034</v>
      </c>
      <c r="BI196" t="s">
        <v>1702</v>
      </c>
      <c r="BJ196">
        <v>0</v>
      </c>
    </row>
    <row r="197" spans="1:62" ht="79.5" customHeight="1" x14ac:dyDescent="0.2">
      <c r="A197" s="98" t="s">
        <v>1660</v>
      </c>
      <c r="B197" s="21" t="s">
        <v>1661</v>
      </c>
      <c r="C197" s="22">
        <v>2019</v>
      </c>
      <c r="D197" s="21" t="s">
        <v>1662</v>
      </c>
      <c r="E197" s="21" t="s">
        <v>737</v>
      </c>
      <c r="F197" s="21" t="s">
        <v>857</v>
      </c>
      <c r="G197" s="21" t="s">
        <v>261</v>
      </c>
      <c r="H197" s="21" t="s">
        <v>91</v>
      </c>
      <c r="I197" s="21"/>
      <c r="J197" s="21" t="s">
        <v>858</v>
      </c>
      <c r="K197" s="21" t="s">
        <v>859</v>
      </c>
      <c r="L197" s="21"/>
      <c r="M197" s="23" t="s">
        <v>860</v>
      </c>
      <c r="N197" s="21" t="s">
        <v>111</v>
      </c>
      <c r="O197" s="21" t="s">
        <v>1663</v>
      </c>
      <c r="P197" s="21"/>
      <c r="Q197" s="21"/>
      <c r="R197" s="21"/>
      <c r="S197" s="21">
        <v>3</v>
      </c>
      <c r="T197" s="21"/>
      <c r="U197" s="21" t="s">
        <v>1664</v>
      </c>
      <c r="V197" s="21" t="s">
        <v>861</v>
      </c>
      <c r="W197" s="17">
        <v>0.9</v>
      </c>
      <c r="X197" s="17">
        <v>0.77</v>
      </c>
      <c r="Y197" s="17">
        <v>0.4</v>
      </c>
      <c r="Z197" s="17">
        <v>1</v>
      </c>
      <c r="AA197" s="18" t="b">
        <f>TRUE()</f>
        <v>1</v>
      </c>
      <c r="AB197" s="18" t="s">
        <v>246</v>
      </c>
      <c r="AC197" s="19">
        <v>0</v>
      </c>
      <c r="AD197" s="19">
        <v>0</v>
      </c>
      <c r="AE197" s="19">
        <v>0.81399999999999995</v>
      </c>
      <c r="AF197" s="19">
        <v>0.186</v>
      </c>
      <c r="AG197" s="19">
        <v>0</v>
      </c>
      <c r="AH197" s="19">
        <v>0</v>
      </c>
      <c r="AI197" s="19">
        <v>0</v>
      </c>
      <c r="AJ197" s="19">
        <v>0</v>
      </c>
      <c r="AK197" s="18" t="s">
        <v>342</v>
      </c>
      <c r="AL197">
        <v>0.67</v>
      </c>
      <c r="AM197">
        <v>0.28999999999999998</v>
      </c>
      <c r="AN197">
        <v>0</v>
      </c>
      <c r="AO197">
        <v>0</v>
      </c>
      <c r="AP197">
        <v>0</v>
      </c>
      <c r="AQ197">
        <v>0.17</v>
      </c>
      <c r="AR197">
        <v>0</v>
      </c>
      <c r="BF197" t="s">
        <v>247</v>
      </c>
      <c r="BG197" t="s">
        <v>248</v>
      </c>
      <c r="BH197" t="s">
        <v>249</v>
      </c>
      <c r="BI197" t="s">
        <v>1665</v>
      </c>
    </row>
    <row r="198" spans="1:62" ht="17" customHeight="1" x14ac:dyDescent="0.2">
      <c r="A198" s="2" t="s">
        <v>1727</v>
      </c>
      <c r="B198" s="25" t="s">
        <v>714</v>
      </c>
      <c r="C198" s="25">
        <v>1939</v>
      </c>
      <c r="D198" s="25" t="s">
        <v>1728</v>
      </c>
      <c r="E198" s="25" t="s">
        <v>716</v>
      </c>
      <c r="F198" s="25" t="s">
        <v>292</v>
      </c>
      <c r="G198" s="25" t="s">
        <v>329</v>
      </c>
      <c r="H198" s="25" t="s">
        <v>91</v>
      </c>
      <c r="I198" s="25" t="s">
        <v>1729</v>
      </c>
      <c r="J198" s="25" t="s">
        <v>718</v>
      </c>
      <c r="K198" s="25" t="s">
        <v>295</v>
      </c>
      <c r="L198" s="25"/>
      <c r="M198" s="25" t="s">
        <v>1729</v>
      </c>
      <c r="N198" s="25" t="s">
        <v>297</v>
      </c>
      <c r="O198" s="25" t="s">
        <v>721</v>
      </c>
      <c r="P198" s="25"/>
      <c r="Q198" s="25"/>
      <c r="R198" s="25"/>
      <c r="S198" s="25">
        <v>4</v>
      </c>
      <c r="T198" s="25"/>
      <c r="U198" s="25"/>
      <c r="V198" s="25" t="s">
        <v>725</v>
      </c>
      <c r="AK198" t="s">
        <v>299</v>
      </c>
      <c r="AL198">
        <v>0</v>
      </c>
      <c r="AM198">
        <v>0</v>
      </c>
      <c r="AN198">
        <v>0.67</v>
      </c>
      <c r="AO198">
        <v>0.17</v>
      </c>
      <c r="AP198">
        <v>0.5</v>
      </c>
      <c r="AQ198">
        <v>0</v>
      </c>
      <c r="AR198">
        <v>0.56999999999999995</v>
      </c>
      <c r="AS198" t="s">
        <v>299</v>
      </c>
      <c r="AT198" t="s">
        <v>1721</v>
      </c>
      <c r="AV198" t="s">
        <v>1730</v>
      </c>
      <c r="BF198" t="s">
        <v>247</v>
      </c>
      <c r="BG198" t="s">
        <v>615</v>
      </c>
      <c r="BH198" s="86" t="s">
        <v>2034</v>
      </c>
      <c r="BI198" t="s">
        <v>1702</v>
      </c>
      <c r="BJ198">
        <v>0</v>
      </c>
    </row>
    <row r="199" spans="1:62" ht="79.5" customHeight="1" x14ac:dyDescent="0.2">
      <c r="A199" s="99" t="s">
        <v>1502</v>
      </c>
      <c r="B199" s="21" t="s">
        <v>1503</v>
      </c>
      <c r="C199" s="22">
        <v>2021</v>
      </c>
      <c r="D199" s="21" t="s">
        <v>1504</v>
      </c>
      <c r="E199" s="21" t="s">
        <v>231</v>
      </c>
      <c r="F199" s="21" t="s">
        <v>1278</v>
      </c>
      <c r="G199" s="21" t="s">
        <v>844</v>
      </c>
      <c r="H199" s="21" t="s">
        <v>91</v>
      </c>
      <c r="I199" s="21" t="s">
        <v>2198</v>
      </c>
      <c r="J199" s="21" t="s">
        <v>1505</v>
      </c>
      <c r="K199" s="21" t="s">
        <v>1278</v>
      </c>
      <c r="L199" s="21"/>
      <c r="M199" s="26" t="s">
        <v>1506</v>
      </c>
      <c r="N199" s="21" t="s">
        <v>1280</v>
      </c>
      <c r="O199" s="21" t="s">
        <v>1507</v>
      </c>
      <c r="P199" s="25"/>
      <c r="Q199" s="21" t="s">
        <v>822</v>
      </c>
      <c r="R199" s="21"/>
      <c r="S199" s="21">
        <v>1</v>
      </c>
      <c r="T199" s="21" t="s">
        <v>1508</v>
      </c>
      <c r="U199" s="21" t="s">
        <v>2197</v>
      </c>
      <c r="V199" s="21" t="s">
        <v>1025</v>
      </c>
      <c r="W199" s="17">
        <v>0.77</v>
      </c>
      <c r="X199" s="17">
        <v>0.66</v>
      </c>
      <c r="Y199" s="17">
        <v>0.2</v>
      </c>
      <c r="Z199" s="17">
        <v>0.92</v>
      </c>
      <c r="AA199" s="18" t="b">
        <f>TRUE()</f>
        <v>1</v>
      </c>
      <c r="AB199" s="18" t="s">
        <v>246</v>
      </c>
      <c r="AC199" s="19">
        <v>0</v>
      </c>
      <c r="AD199" s="19">
        <v>0</v>
      </c>
      <c r="AE199" s="19">
        <v>0.84399999999999997</v>
      </c>
      <c r="AF199" s="19">
        <v>0</v>
      </c>
      <c r="AG199" s="19">
        <v>0</v>
      </c>
      <c r="AH199" s="19">
        <v>0.156</v>
      </c>
      <c r="AI199" s="19">
        <v>0</v>
      </c>
      <c r="AJ199" s="19">
        <v>0</v>
      </c>
      <c r="AK199" s="18" t="s">
        <v>342</v>
      </c>
      <c r="AL199">
        <v>0.14166666666666669</v>
      </c>
      <c r="AM199">
        <v>0</v>
      </c>
      <c r="AN199">
        <v>0.19750000000000001</v>
      </c>
      <c r="AO199">
        <v>0.17</v>
      </c>
      <c r="AP199">
        <v>0.38916666666666666</v>
      </c>
      <c r="AQ199">
        <v>0.14166666666666669</v>
      </c>
      <c r="AR199">
        <v>9.4999999999999987E-2</v>
      </c>
      <c r="AT199" s="86" t="s">
        <v>2213</v>
      </c>
      <c r="BF199" t="s">
        <v>247</v>
      </c>
      <c r="BG199" t="s">
        <v>265</v>
      </c>
      <c r="BH199" t="s">
        <v>249</v>
      </c>
      <c r="BI199" t="s">
        <v>1509</v>
      </c>
      <c r="BJ199">
        <v>0.5</v>
      </c>
    </row>
    <row r="200" spans="1:62" ht="31.5" customHeight="1" x14ac:dyDescent="0.2">
      <c r="A200" s="99" t="s">
        <v>2199</v>
      </c>
      <c r="B200" s="102" t="s">
        <v>1503</v>
      </c>
      <c r="C200" s="104">
        <v>2021</v>
      </c>
      <c r="D200" s="102" t="s">
        <v>1504</v>
      </c>
      <c r="E200" s="47" t="s">
        <v>231</v>
      </c>
      <c r="F200" s="47" t="s">
        <v>1278</v>
      </c>
      <c r="G200" s="47" t="s">
        <v>844</v>
      </c>
      <c r="H200" s="47" t="s">
        <v>91</v>
      </c>
      <c r="I200" s="47" t="s">
        <v>2205</v>
      </c>
      <c r="J200" s="47" t="s">
        <v>1505</v>
      </c>
      <c r="K200" s="47" t="s">
        <v>1278</v>
      </c>
      <c r="L200" s="47"/>
      <c r="M200" s="110" t="s">
        <v>1506</v>
      </c>
      <c r="N200" s="21" t="s">
        <v>1280</v>
      </c>
      <c r="O200" s="47" t="s">
        <v>1507</v>
      </c>
      <c r="P200" s="99"/>
      <c r="Q200" s="102" t="s">
        <v>2121</v>
      </c>
      <c r="R200" s="99" t="s">
        <v>722</v>
      </c>
      <c r="S200" s="47">
        <v>1</v>
      </c>
      <c r="T200" s="102" t="s">
        <v>1508</v>
      </c>
      <c r="U200" s="102" t="s">
        <v>2197</v>
      </c>
      <c r="V200" s="102" t="s">
        <v>1025</v>
      </c>
      <c r="W200" s="17">
        <v>0.77</v>
      </c>
      <c r="X200" s="17">
        <v>0.66</v>
      </c>
      <c r="Y200" s="17">
        <v>0.2</v>
      </c>
      <c r="Z200" s="17">
        <v>0.92</v>
      </c>
      <c r="AA200" s="18" t="b">
        <f>TRUE()</f>
        <v>1</v>
      </c>
      <c r="AB200" s="18" t="s">
        <v>246</v>
      </c>
      <c r="AC200" s="19">
        <v>0</v>
      </c>
      <c r="AD200" s="19">
        <v>0</v>
      </c>
      <c r="AE200" s="19">
        <v>0.84399999999999997</v>
      </c>
      <c r="AF200" s="19">
        <v>0</v>
      </c>
      <c r="AG200" s="19">
        <v>0</v>
      </c>
      <c r="AH200" s="19">
        <v>0.156</v>
      </c>
      <c r="AI200" s="19">
        <v>0</v>
      </c>
      <c r="AJ200" s="19">
        <v>0</v>
      </c>
      <c r="AK200" s="18" t="s">
        <v>342</v>
      </c>
      <c r="AL200">
        <v>0</v>
      </c>
      <c r="AM200">
        <v>0</v>
      </c>
      <c r="AN200">
        <f>(AW200+AZ200)/2</f>
        <v>0.17</v>
      </c>
      <c r="AO200">
        <f>(AX200+BA200)/2</f>
        <v>0.17</v>
      </c>
      <c r="AP200">
        <f>(AY200+BB200)/2</f>
        <v>0.29250000000000004</v>
      </c>
      <c r="AQ200">
        <v>0</v>
      </c>
      <c r="AR200">
        <v>0</v>
      </c>
      <c r="AT200" s="86" t="s">
        <v>2206</v>
      </c>
      <c r="AV200" s="86" t="s">
        <v>2208</v>
      </c>
      <c r="AW200" s="93">
        <v>0.17</v>
      </c>
      <c r="AX200" s="93">
        <v>0.17</v>
      </c>
      <c r="AY200" s="93">
        <f>(0.5+0.33)/2</f>
        <v>0.41500000000000004</v>
      </c>
      <c r="AZ200" s="93">
        <v>0.17</v>
      </c>
      <c r="BA200" s="93">
        <v>0.17</v>
      </c>
      <c r="BB200" s="93">
        <v>0.17</v>
      </c>
      <c r="BF200" t="s">
        <v>247</v>
      </c>
      <c r="BG200" t="s">
        <v>265</v>
      </c>
      <c r="BH200" t="s">
        <v>249</v>
      </c>
      <c r="BI200" t="s">
        <v>1509</v>
      </c>
      <c r="BJ200">
        <v>0.5</v>
      </c>
    </row>
    <row r="201" spans="1:62" ht="223.5" customHeight="1" x14ac:dyDescent="0.2">
      <c r="A201" s="2" t="s">
        <v>1323</v>
      </c>
      <c r="B201" s="2" t="s">
        <v>1324</v>
      </c>
      <c r="C201" s="2">
        <v>2005</v>
      </c>
      <c r="D201" s="2" t="s">
        <v>1325</v>
      </c>
      <c r="E201" s="47" t="s">
        <v>737</v>
      </c>
      <c r="F201" s="47" t="s">
        <v>590</v>
      </c>
      <c r="G201" s="47" t="s">
        <v>224</v>
      </c>
      <c r="H201" s="47" t="s">
        <v>108</v>
      </c>
      <c r="I201" s="47"/>
      <c r="J201" s="47" t="s">
        <v>109</v>
      </c>
      <c r="K201" s="47" t="s">
        <v>590</v>
      </c>
      <c r="L201" s="47"/>
      <c r="M201" s="53" t="s">
        <v>1326</v>
      </c>
      <c r="N201" s="21" t="s">
        <v>111</v>
      </c>
      <c r="O201" s="47" t="s">
        <v>1327</v>
      </c>
      <c r="P201" s="2"/>
      <c r="Q201" s="2"/>
      <c r="R201" s="2"/>
      <c r="S201" s="47">
        <v>4</v>
      </c>
      <c r="T201" s="50" t="s">
        <v>1328</v>
      </c>
      <c r="U201" s="50"/>
      <c r="V201" s="2"/>
      <c r="W201" s="17">
        <v>0.9</v>
      </c>
      <c r="X201" s="17">
        <v>0.82</v>
      </c>
      <c r="Y201" s="17">
        <v>0.45</v>
      </c>
      <c r="Z201" s="17">
        <v>1</v>
      </c>
      <c r="AA201" s="18" t="b">
        <f>FALSE()</f>
        <v>0</v>
      </c>
      <c r="AB201" s="18" t="s">
        <v>126</v>
      </c>
      <c r="AC201" s="19">
        <v>0</v>
      </c>
      <c r="AD201" s="19">
        <v>0</v>
      </c>
      <c r="AE201" s="19">
        <v>0.81399999999999995</v>
      </c>
      <c r="AF201" s="19">
        <v>0.186</v>
      </c>
      <c r="AG201" s="19">
        <v>0</v>
      </c>
      <c r="AH201" s="19">
        <v>0</v>
      </c>
      <c r="AI201" s="19">
        <v>0</v>
      </c>
      <c r="AJ201" s="19">
        <v>0</v>
      </c>
      <c r="AK201" s="18" t="s">
        <v>342</v>
      </c>
      <c r="BF201" t="s">
        <v>99</v>
      </c>
      <c r="BH201" t="s">
        <v>100</v>
      </c>
      <c r="BI201" t="s">
        <v>101</v>
      </c>
    </row>
    <row r="202" spans="1:62" ht="31.5" customHeight="1" x14ac:dyDescent="0.2">
      <c r="A202" s="25" t="s">
        <v>1329</v>
      </c>
      <c r="B202" s="21" t="s">
        <v>1330</v>
      </c>
      <c r="C202" s="22">
        <v>2016</v>
      </c>
      <c r="D202" s="21" t="s">
        <v>1331</v>
      </c>
      <c r="E202" s="21" t="s">
        <v>788</v>
      </c>
      <c r="F202" s="21" t="s">
        <v>828</v>
      </c>
      <c r="G202" s="21" t="s">
        <v>150</v>
      </c>
      <c r="H202" s="21" t="s">
        <v>91</v>
      </c>
      <c r="I202" s="21"/>
      <c r="J202" s="21" t="s">
        <v>132</v>
      </c>
      <c r="K202" s="21" t="s">
        <v>295</v>
      </c>
      <c r="L202" s="35"/>
      <c r="M202" s="49" t="s">
        <v>1332</v>
      </c>
      <c r="N202" s="21" t="s">
        <v>297</v>
      </c>
      <c r="O202" s="21" t="s">
        <v>575</v>
      </c>
      <c r="P202" s="21"/>
      <c r="Q202" s="21"/>
      <c r="R202" s="21"/>
      <c r="S202" s="21">
        <v>2</v>
      </c>
      <c r="T202" s="2" t="s">
        <v>1333</v>
      </c>
      <c r="U202" s="2"/>
      <c r="V202" s="14" t="s">
        <v>97</v>
      </c>
      <c r="W202" s="17">
        <v>0.4</v>
      </c>
      <c r="X202" s="17">
        <v>0.3</v>
      </c>
      <c r="Y202" s="17">
        <v>0.42</v>
      </c>
      <c r="Z202" s="17">
        <v>0.05</v>
      </c>
      <c r="AA202" s="18" t="b">
        <f>FALSE()</f>
        <v>0</v>
      </c>
      <c r="AB202" s="18" t="s">
        <v>98</v>
      </c>
      <c r="AC202" s="19">
        <v>7.9000000000000001E-2</v>
      </c>
      <c r="AD202" s="19">
        <v>0</v>
      </c>
      <c r="AE202" s="19">
        <v>0</v>
      </c>
      <c r="AF202" s="19">
        <v>0</v>
      </c>
      <c r="AG202" s="19">
        <v>0</v>
      </c>
      <c r="AH202" s="19">
        <v>0</v>
      </c>
      <c r="AI202" s="19">
        <v>0.92100000000000004</v>
      </c>
      <c r="AJ202" s="19">
        <v>0</v>
      </c>
      <c r="AK202" s="18" t="s">
        <v>299</v>
      </c>
      <c r="BF202" t="s">
        <v>99</v>
      </c>
      <c r="BH202" t="s">
        <v>100</v>
      </c>
      <c r="BI202" t="s">
        <v>101</v>
      </c>
    </row>
    <row r="203" spans="1:62" ht="30" customHeight="1" x14ac:dyDescent="0.2">
      <c r="A203" s="54" t="s">
        <v>1334</v>
      </c>
      <c r="B203" s="21" t="s">
        <v>944</v>
      </c>
      <c r="C203" s="27">
        <v>2018</v>
      </c>
      <c r="D203" s="21" t="s">
        <v>1335</v>
      </c>
      <c r="E203" s="21" t="s">
        <v>788</v>
      </c>
      <c r="F203" s="21" t="s">
        <v>952</v>
      </c>
      <c r="G203" s="21" t="s">
        <v>131</v>
      </c>
      <c r="H203" s="21" t="s">
        <v>91</v>
      </c>
      <c r="I203" s="21"/>
      <c r="J203" s="21" t="s">
        <v>132</v>
      </c>
      <c r="K203" s="21" t="s">
        <v>295</v>
      </c>
      <c r="L203" s="21"/>
      <c r="M203" s="23" t="s">
        <v>1336</v>
      </c>
      <c r="N203" s="21" t="s">
        <v>297</v>
      </c>
      <c r="O203" s="21" t="s">
        <v>1337</v>
      </c>
      <c r="P203" s="21"/>
      <c r="Q203" s="21"/>
      <c r="R203" s="21"/>
      <c r="S203" s="21">
        <v>2</v>
      </c>
      <c r="T203" s="35"/>
      <c r="U203" s="35"/>
      <c r="V203" s="14" t="s">
        <v>97</v>
      </c>
      <c r="W203" s="17">
        <v>0.35</v>
      </c>
      <c r="X203" s="17">
        <v>0.3</v>
      </c>
      <c r="Y203" s="17">
        <v>0.38</v>
      </c>
      <c r="Z203" s="17">
        <v>0</v>
      </c>
      <c r="AA203" s="18" t="b">
        <f>FALSE()</f>
        <v>0</v>
      </c>
      <c r="AB203" s="18" t="s">
        <v>98</v>
      </c>
      <c r="AC203" s="19">
        <v>0.184</v>
      </c>
      <c r="AD203" s="19">
        <v>0</v>
      </c>
      <c r="AE203" s="19">
        <v>0</v>
      </c>
      <c r="AF203" s="19">
        <v>0</v>
      </c>
      <c r="AG203" s="19">
        <v>0</v>
      </c>
      <c r="AH203" s="19">
        <v>0</v>
      </c>
      <c r="AI203" s="19">
        <v>0.81599999999999995</v>
      </c>
      <c r="AJ203" s="19">
        <v>0</v>
      </c>
      <c r="AK203" s="18" t="s">
        <v>299</v>
      </c>
      <c r="BF203" t="s">
        <v>99</v>
      </c>
      <c r="BH203" t="s">
        <v>100</v>
      </c>
      <c r="BI203" t="s">
        <v>101</v>
      </c>
    </row>
    <row r="204" spans="1:62" ht="15.75" customHeight="1" x14ac:dyDescent="0.2">
      <c r="A204" s="99" t="s">
        <v>2200</v>
      </c>
      <c r="B204" s="102" t="s">
        <v>1503</v>
      </c>
      <c r="C204" s="104">
        <v>2021</v>
      </c>
      <c r="D204" s="102" t="s">
        <v>1504</v>
      </c>
      <c r="E204" s="102" t="s">
        <v>231</v>
      </c>
      <c r="F204" s="102" t="s">
        <v>1278</v>
      </c>
      <c r="G204" s="102" t="s">
        <v>844</v>
      </c>
      <c r="H204" s="102" t="s">
        <v>91</v>
      </c>
      <c r="I204" s="102" t="s">
        <v>2198</v>
      </c>
      <c r="J204" s="102" t="s">
        <v>1505</v>
      </c>
      <c r="K204" s="102" t="s">
        <v>1278</v>
      </c>
      <c r="L204" s="102"/>
      <c r="M204" s="107" t="s">
        <v>1506</v>
      </c>
      <c r="N204" s="102" t="s">
        <v>1280</v>
      </c>
      <c r="O204" s="102" t="s">
        <v>1507</v>
      </c>
      <c r="P204" s="99"/>
      <c r="Q204" s="102" t="s">
        <v>2121</v>
      </c>
      <c r="R204" s="99" t="s">
        <v>722</v>
      </c>
      <c r="S204" s="102">
        <v>1</v>
      </c>
      <c r="T204" s="102" t="s">
        <v>1508</v>
      </c>
      <c r="U204" s="102" t="s">
        <v>2197</v>
      </c>
      <c r="V204" s="102" t="s">
        <v>1025</v>
      </c>
      <c r="W204" s="17">
        <v>0.77</v>
      </c>
      <c r="X204" s="17">
        <v>0.66</v>
      </c>
      <c r="Y204" s="17">
        <v>0.2</v>
      </c>
      <c r="Z204" s="17">
        <v>0.92</v>
      </c>
      <c r="AA204" s="18" t="b">
        <f>TRUE()</f>
        <v>1</v>
      </c>
      <c r="AB204" s="18" t="s">
        <v>246</v>
      </c>
      <c r="AC204" s="19">
        <v>0</v>
      </c>
      <c r="AD204" s="19">
        <v>0</v>
      </c>
      <c r="AE204" s="19">
        <v>0.84399999999999997</v>
      </c>
      <c r="AF204" s="19">
        <v>0</v>
      </c>
      <c r="AG204" s="19">
        <v>0</v>
      </c>
      <c r="AH204" s="19">
        <v>0.156</v>
      </c>
      <c r="AI204" s="19">
        <v>0</v>
      </c>
      <c r="AJ204" s="19">
        <v>0</v>
      </c>
      <c r="AK204" s="18" t="s">
        <v>342</v>
      </c>
      <c r="AL204">
        <v>0.17</v>
      </c>
      <c r="AM204">
        <v>0</v>
      </c>
      <c r="AN204">
        <f>(AW204+AZ204)/2</f>
        <v>0.17</v>
      </c>
      <c r="AO204">
        <f>(AX204+BA204)/2</f>
        <v>0.17</v>
      </c>
      <c r="AP204">
        <f>(AY204+BB204)/2</f>
        <v>0.25</v>
      </c>
      <c r="AQ204">
        <v>0.17</v>
      </c>
      <c r="AR204">
        <v>0</v>
      </c>
      <c r="AT204" s="86" t="s">
        <v>2207</v>
      </c>
      <c r="AW204" s="93">
        <v>0.17</v>
      </c>
      <c r="AX204" s="93">
        <v>0.17</v>
      </c>
      <c r="AY204" s="93">
        <f>(0.5+0.33)/2</f>
        <v>0.41500000000000004</v>
      </c>
      <c r="AZ204" s="93">
        <v>0.17</v>
      </c>
      <c r="BA204" s="93">
        <v>0.17</v>
      </c>
      <c r="BB204" s="93">
        <f>0.17/2</f>
        <v>8.5000000000000006E-2</v>
      </c>
      <c r="BF204" t="s">
        <v>247</v>
      </c>
      <c r="BG204" t="s">
        <v>265</v>
      </c>
      <c r="BH204" t="s">
        <v>249</v>
      </c>
      <c r="BI204" t="s">
        <v>1509</v>
      </c>
      <c r="BJ204">
        <v>0.5</v>
      </c>
    </row>
    <row r="205" spans="1:62" ht="15.75" customHeight="1" x14ac:dyDescent="0.2">
      <c r="A205" s="2" t="s">
        <v>1338</v>
      </c>
      <c r="B205" s="2" t="s">
        <v>1339</v>
      </c>
      <c r="C205" s="2">
        <v>1973</v>
      </c>
      <c r="D205" s="2" t="s">
        <v>1340</v>
      </c>
      <c r="E205" s="2" t="s">
        <v>737</v>
      </c>
      <c r="F205" s="2" t="s">
        <v>447</v>
      </c>
      <c r="G205" s="2" t="s">
        <v>107</v>
      </c>
      <c r="H205" s="2" t="s">
        <v>91</v>
      </c>
      <c r="I205" s="2"/>
      <c r="J205" s="2" t="s">
        <v>417</v>
      </c>
      <c r="K205" s="2"/>
      <c r="L205" s="2"/>
      <c r="M205" s="2" t="s">
        <v>1341</v>
      </c>
      <c r="N205" s="2"/>
      <c r="O205" s="2"/>
      <c r="P205" s="2"/>
      <c r="Q205" s="2"/>
      <c r="R205" s="2"/>
      <c r="S205" s="2"/>
      <c r="T205" s="2"/>
      <c r="U205" s="2"/>
      <c r="V205" s="2"/>
      <c r="W205" s="17">
        <v>0.55000000000000004</v>
      </c>
      <c r="X205" s="17">
        <v>0.4</v>
      </c>
      <c r="Y205" s="17">
        <v>0.3</v>
      </c>
      <c r="Z205" s="17">
        <v>0.85</v>
      </c>
      <c r="AA205" s="18" t="b">
        <f>FALSE()</f>
        <v>0</v>
      </c>
      <c r="AB205" s="18" t="s">
        <v>98</v>
      </c>
      <c r="AC205" s="19">
        <v>0.30599999999999999</v>
      </c>
      <c r="AD205" s="19">
        <v>0.19400000000000001</v>
      </c>
      <c r="AE205" s="19">
        <v>8.3000000000000004E-2</v>
      </c>
      <c r="AF205" s="19">
        <v>8.3000000000000004E-2</v>
      </c>
      <c r="AG205" s="19">
        <v>8.3000000000000004E-2</v>
      </c>
      <c r="AH205" s="19">
        <v>8.3000000000000004E-2</v>
      </c>
      <c r="AI205" s="19">
        <v>8.3000000000000004E-2</v>
      </c>
      <c r="AJ205" s="19">
        <v>8.3000000000000004E-2</v>
      </c>
      <c r="AK205" s="18" t="s">
        <v>333</v>
      </c>
      <c r="BF205" t="s">
        <v>99</v>
      </c>
      <c r="BH205" t="s">
        <v>100</v>
      </c>
      <c r="BI205" t="s">
        <v>101</v>
      </c>
    </row>
    <row r="206" spans="1:62" ht="31.5" customHeight="1" x14ac:dyDescent="0.2">
      <c r="A206" s="20" t="s">
        <v>1319</v>
      </c>
      <c r="B206" s="21" t="s">
        <v>1342</v>
      </c>
      <c r="C206" s="27">
        <v>2013</v>
      </c>
      <c r="D206" s="21" t="s">
        <v>1321</v>
      </c>
      <c r="E206" s="21" t="s">
        <v>89</v>
      </c>
      <c r="F206" s="21" t="s">
        <v>106</v>
      </c>
      <c r="G206" s="21" t="s">
        <v>107</v>
      </c>
      <c r="H206" s="21" t="s">
        <v>108</v>
      </c>
      <c r="I206" s="21"/>
      <c r="J206" s="21" t="s">
        <v>1343</v>
      </c>
      <c r="K206" s="21" t="s">
        <v>93</v>
      </c>
      <c r="L206" s="21"/>
      <c r="M206" s="23" t="s">
        <v>1344</v>
      </c>
      <c r="N206" s="21" t="s">
        <v>111</v>
      </c>
      <c r="O206" s="21" t="s">
        <v>1345</v>
      </c>
      <c r="P206" s="21" t="s">
        <v>1346</v>
      </c>
      <c r="Q206" s="21" t="s">
        <v>901</v>
      </c>
      <c r="R206" s="21"/>
      <c r="S206" s="21">
        <v>4</v>
      </c>
      <c r="T206" s="21"/>
      <c r="U206" s="21"/>
      <c r="V206" s="21" t="s">
        <v>902</v>
      </c>
      <c r="W206" s="17">
        <v>0.3</v>
      </c>
      <c r="X206" s="17">
        <v>0.4</v>
      </c>
      <c r="Y206" s="17">
        <v>0.65</v>
      </c>
      <c r="Z206" s="17">
        <v>0.55000000000000004</v>
      </c>
      <c r="AA206" s="18" t="b">
        <f>FALSE()</f>
        <v>0</v>
      </c>
      <c r="AB206" s="18" t="s">
        <v>98</v>
      </c>
      <c r="AC206" s="19">
        <v>0.312</v>
      </c>
      <c r="AD206" s="19">
        <v>0.625</v>
      </c>
      <c r="AE206" s="19">
        <v>0</v>
      </c>
      <c r="AF206" s="19">
        <v>6.2E-2</v>
      </c>
      <c r="AG206" s="19">
        <v>0</v>
      </c>
      <c r="AH206" s="19">
        <v>0</v>
      </c>
      <c r="AI206" s="19">
        <v>0</v>
      </c>
      <c r="AJ206" s="19">
        <v>0</v>
      </c>
      <c r="AK206" s="18" t="s">
        <v>89</v>
      </c>
      <c r="BF206" t="s">
        <v>99</v>
      </c>
      <c r="BH206" t="s">
        <v>100</v>
      </c>
      <c r="BI206" t="s">
        <v>101</v>
      </c>
    </row>
    <row r="207" spans="1:62" ht="30" customHeight="1" x14ac:dyDescent="0.2">
      <c r="A207" s="13" t="s">
        <v>1347</v>
      </c>
      <c r="B207" s="14" t="s">
        <v>1342</v>
      </c>
      <c r="C207" s="24">
        <v>2018</v>
      </c>
      <c r="D207" s="14" t="s">
        <v>1348</v>
      </c>
      <c r="E207" s="14" t="s">
        <v>788</v>
      </c>
      <c r="F207" s="14" t="s">
        <v>789</v>
      </c>
      <c r="G207" s="14" t="s">
        <v>107</v>
      </c>
      <c r="H207" s="14" t="s">
        <v>108</v>
      </c>
      <c r="I207" s="14"/>
      <c r="J207" s="14" t="s">
        <v>109</v>
      </c>
      <c r="K207" s="14" t="s">
        <v>2145</v>
      </c>
      <c r="L207" s="14"/>
      <c r="M207" s="16" t="s">
        <v>1349</v>
      </c>
      <c r="N207" s="14" t="s">
        <v>297</v>
      </c>
      <c r="O207" s="14" t="s">
        <v>1350</v>
      </c>
      <c r="P207" s="14"/>
      <c r="Q207" s="14" t="s">
        <v>2121</v>
      </c>
      <c r="R207" s="14"/>
      <c r="S207" s="14">
        <v>3</v>
      </c>
      <c r="T207" s="14" t="s">
        <v>2148</v>
      </c>
      <c r="U207" s="14" t="s">
        <v>2147</v>
      </c>
      <c r="V207" s="14" t="s">
        <v>97</v>
      </c>
      <c r="W207" s="17">
        <v>0.2</v>
      </c>
      <c r="X207" s="17">
        <v>0.15</v>
      </c>
      <c r="Y207" s="17">
        <v>0.75</v>
      </c>
      <c r="Z207" s="17">
        <v>0.2</v>
      </c>
      <c r="AA207" s="18" t="b">
        <f>FALSE()</f>
        <v>0</v>
      </c>
      <c r="AB207" s="18" t="s">
        <v>98</v>
      </c>
      <c r="AC207" s="19">
        <v>0.312</v>
      </c>
      <c r="AD207" s="19">
        <v>0.375</v>
      </c>
      <c r="AE207" s="19">
        <v>0</v>
      </c>
      <c r="AF207" s="19">
        <v>0.14599999999999999</v>
      </c>
      <c r="AG207" s="19">
        <v>0</v>
      </c>
      <c r="AH207" s="19">
        <v>0</v>
      </c>
      <c r="AI207" s="19">
        <v>0.125</v>
      </c>
      <c r="AJ207" s="19">
        <v>4.2000000000000003E-2</v>
      </c>
      <c r="AK207" s="18" t="s">
        <v>89</v>
      </c>
      <c r="BF207" t="s">
        <v>99</v>
      </c>
      <c r="BH207" t="s">
        <v>100</v>
      </c>
      <c r="BI207" t="s">
        <v>101</v>
      </c>
    </row>
    <row r="208" spans="1:62" ht="30" customHeight="1" x14ac:dyDescent="0.2">
      <c r="A208" s="20" t="s">
        <v>1351</v>
      </c>
      <c r="B208" s="21" t="s">
        <v>1352</v>
      </c>
      <c r="C208" s="27">
        <v>2019</v>
      </c>
      <c r="D208" s="21" t="s">
        <v>1353</v>
      </c>
      <c r="E208" s="21" t="s">
        <v>788</v>
      </c>
      <c r="F208" s="21" t="s">
        <v>828</v>
      </c>
      <c r="G208" s="21" t="s">
        <v>131</v>
      </c>
      <c r="H208" s="21" t="s">
        <v>108</v>
      </c>
      <c r="I208" s="21"/>
      <c r="J208" s="21" t="s">
        <v>132</v>
      </c>
      <c r="K208" s="21" t="s">
        <v>295</v>
      </c>
      <c r="L208" s="21"/>
      <c r="M208" s="23" t="s">
        <v>1354</v>
      </c>
      <c r="N208" s="21" t="s">
        <v>297</v>
      </c>
      <c r="O208" s="21" t="s">
        <v>1355</v>
      </c>
      <c r="P208" s="21"/>
      <c r="Q208" s="21" t="s">
        <v>159</v>
      </c>
      <c r="R208" s="21"/>
      <c r="S208" s="21">
        <v>3</v>
      </c>
      <c r="T208" s="21"/>
      <c r="U208" s="21"/>
      <c r="V208" s="14" t="s">
        <v>97</v>
      </c>
      <c r="W208" s="17">
        <v>0.4</v>
      </c>
      <c r="X208" s="17">
        <v>0.3</v>
      </c>
      <c r="Y208" s="17">
        <v>0.42</v>
      </c>
      <c r="Z208" s="17">
        <v>0.05</v>
      </c>
      <c r="AA208" s="18" t="b">
        <f>FALSE()</f>
        <v>0</v>
      </c>
      <c r="AB208" s="18" t="s">
        <v>98</v>
      </c>
      <c r="AC208" s="19">
        <v>7.9000000000000001E-2</v>
      </c>
      <c r="AD208" s="19">
        <v>0</v>
      </c>
      <c r="AE208" s="19">
        <v>0</v>
      </c>
      <c r="AF208" s="19">
        <v>0</v>
      </c>
      <c r="AG208" s="19">
        <v>0</v>
      </c>
      <c r="AH208" s="19">
        <v>0</v>
      </c>
      <c r="AI208" s="19">
        <v>0.92100000000000004</v>
      </c>
      <c r="AJ208" s="19">
        <v>0</v>
      </c>
      <c r="AK208" s="18" t="s">
        <v>299</v>
      </c>
      <c r="BF208" t="s">
        <v>99</v>
      </c>
      <c r="BH208" t="s">
        <v>100</v>
      </c>
      <c r="BI208" t="s">
        <v>101</v>
      </c>
    </row>
    <row r="209" spans="1:62" ht="15.75" customHeight="1" x14ac:dyDescent="0.2">
      <c r="A209" s="99" t="s">
        <v>2201</v>
      </c>
      <c r="B209" s="102" t="s">
        <v>1503</v>
      </c>
      <c r="C209" s="104">
        <v>2021</v>
      </c>
      <c r="D209" s="55" t="s">
        <v>1504</v>
      </c>
      <c r="E209" s="47" t="s">
        <v>231</v>
      </c>
      <c r="F209" s="47" t="s">
        <v>1278</v>
      </c>
      <c r="G209" s="102" t="s">
        <v>844</v>
      </c>
      <c r="H209" s="102" t="s">
        <v>91</v>
      </c>
      <c r="I209" s="102" t="s">
        <v>2198</v>
      </c>
      <c r="J209" s="102" t="s">
        <v>1505</v>
      </c>
      <c r="K209" s="102" t="s">
        <v>1278</v>
      </c>
      <c r="L209" s="102"/>
      <c r="M209" s="107" t="s">
        <v>1506</v>
      </c>
      <c r="N209" s="102" t="s">
        <v>1280</v>
      </c>
      <c r="O209" s="102" t="s">
        <v>1507</v>
      </c>
      <c r="P209" s="99"/>
      <c r="Q209" s="102" t="s">
        <v>2121</v>
      </c>
      <c r="R209" s="99" t="s">
        <v>722</v>
      </c>
      <c r="S209" s="102">
        <v>1</v>
      </c>
      <c r="T209" s="102" t="s">
        <v>1508</v>
      </c>
      <c r="U209" s="102" t="s">
        <v>2197</v>
      </c>
      <c r="V209" s="21" t="s">
        <v>1025</v>
      </c>
      <c r="W209" s="17">
        <v>0.77</v>
      </c>
      <c r="X209" s="17">
        <v>0.66</v>
      </c>
      <c r="Y209" s="17">
        <v>0.2</v>
      </c>
      <c r="Z209" s="17">
        <v>0.92</v>
      </c>
      <c r="AA209" s="18" t="b">
        <f>TRUE()</f>
        <v>1</v>
      </c>
      <c r="AB209" s="18" t="s">
        <v>246</v>
      </c>
      <c r="AC209" s="19">
        <v>0</v>
      </c>
      <c r="AD209" s="19">
        <v>0</v>
      </c>
      <c r="AE209" s="19">
        <v>0.84399999999999997</v>
      </c>
      <c r="AF209" s="19">
        <v>0</v>
      </c>
      <c r="AG209" s="19">
        <v>0</v>
      </c>
      <c r="AH209" s="19">
        <v>0.156</v>
      </c>
      <c r="AI209" s="19">
        <v>0</v>
      </c>
      <c r="AJ209" s="19">
        <v>0</v>
      </c>
      <c r="AK209" s="18" t="s">
        <v>342</v>
      </c>
      <c r="AL209">
        <v>0.17</v>
      </c>
      <c r="AM209">
        <v>0</v>
      </c>
      <c r="AN209">
        <f>(AW209+AZ209)/2</f>
        <v>0.33500000000000002</v>
      </c>
      <c r="AO209">
        <f>(AX209+BA209)/2</f>
        <v>0.17</v>
      </c>
      <c r="AP209">
        <f>(AY209+BB209)/2</f>
        <v>0.29250000000000004</v>
      </c>
      <c r="AQ209">
        <v>0.17</v>
      </c>
      <c r="AR209">
        <v>0</v>
      </c>
      <c r="AT209" s="86" t="s">
        <v>2209</v>
      </c>
      <c r="AW209" s="93">
        <v>0.17</v>
      </c>
      <c r="AX209" s="93">
        <v>0.17</v>
      </c>
      <c r="AY209" s="93">
        <f>(0.5+0.33)/2</f>
        <v>0.41500000000000004</v>
      </c>
      <c r="AZ209" s="93">
        <v>0.5</v>
      </c>
      <c r="BA209" s="93">
        <v>0.17</v>
      </c>
      <c r="BB209" s="93">
        <v>0.17</v>
      </c>
      <c r="BF209" t="s">
        <v>247</v>
      </c>
      <c r="BG209" t="s">
        <v>265</v>
      </c>
      <c r="BH209" t="s">
        <v>249</v>
      </c>
      <c r="BI209" t="s">
        <v>1509</v>
      </c>
      <c r="BJ209">
        <v>0.5</v>
      </c>
    </row>
    <row r="210" spans="1:62" ht="36.75" customHeight="1" x14ac:dyDescent="0.2">
      <c r="A210" s="99" t="s">
        <v>2202</v>
      </c>
      <c r="B210" s="102" t="s">
        <v>1503</v>
      </c>
      <c r="C210" s="104">
        <v>2021</v>
      </c>
      <c r="D210" s="102" t="s">
        <v>1504</v>
      </c>
      <c r="E210" s="102" t="s">
        <v>231</v>
      </c>
      <c r="F210" s="102" t="s">
        <v>1278</v>
      </c>
      <c r="G210" s="102" t="s">
        <v>844</v>
      </c>
      <c r="H210" s="102" t="s">
        <v>91</v>
      </c>
      <c r="I210" s="102" t="s">
        <v>2198</v>
      </c>
      <c r="J210" s="102" t="s">
        <v>1505</v>
      </c>
      <c r="K210" s="102" t="s">
        <v>1278</v>
      </c>
      <c r="L210" s="102"/>
      <c r="M210" s="107" t="s">
        <v>1506</v>
      </c>
      <c r="N210" s="102" t="s">
        <v>1280</v>
      </c>
      <c r="O210" s="102" t="s">
        <v>1507</v>
      </c>
      <c r="P210" s="99"/>
      <c r="Q210" s="102" t="s">
        <v>2121</v>
      </c>
      <c r="R210" s="99" t="s">
        <v>722</v>
      </c>
      <c r="S210" s="102">
        <v>1</v>
      </c>
      <c r="T210" s="102" t="s">
        <v>1508</v>
      </c>
      <c r="U210" s="102" t="s">
        <v>2197</v>
      </c>
      <c r="V210" s="102" t="s">
        <v>1025</v>
      </c>
      <c r="W210" s="17">
        <v>0.77</v>
      </c>
      <c r="X210" s="17">
        <v>0.66</v>
      </c>
      <c r="Y210" s="17">
        <v>0.2</v>
      </c>
      <c r="Z210" s="17">
        <v>0.92</v>
      </c>
      <c r="AA210" s="18" t="b">
        <f>TRUE()</f>
        <v>1</v>
      </c>
      <c r="AB210" s="18" t="s">
        <v>246</v>
      </c>
      <c r="AC210" s="19">
        <v>0</v>
      </c>
      <c r="AD210" s="19">
        <v>0</v>
      </c>
      <c r="AE210" s="19">
        <v>0.84399999999999997</v>
      </c>
      <c r="AF210" s="19">
        <v>0</v>
      </c>
      <c r="AG210" s="19">
        <v>0</v>
      </c>
      <c r="AH210" s="19">
        <v>0.156</v>
      </c>
      <c r="AI210" s="19">
        <v>0</v>
      </c>
      <c r="AJ210" s="19">
        <v>0</v>
      </c>
      <c r="AK210" s="18" t="s">
        <v>342</v>
      </c>
      <c r="AL210">
        <v>0.17</v>
      </c>
      <c r="AM210">
        <v>0</v>
      </c>
      <c r="AN210">
        <v>0.17</v>
      </c>
      <c r="AO210">
        <v>0.17</v>
      </c>
      <c r="AP210">
        <v>0.5</v>
      </c>
      <c r="AQ210">
        <v>0.17</v>
      </c>
      <c r="AR210">
        <v>0</v>
      </c>
      <c r="AT210" s="86" t="s">
        <v>2210</v>
      </c>
      <c r="AW210" s="93">
        <v>0.17</v>
      </c>
      <c r="AX210" s="93">
        <v>0.17</v>
      </c>
      <c r="AY210" s="93">
        <v>0.5</v>
      </c>
      <c r="AZ210" s="93">
        <v>0.17</v>
      </c>
      <c r="BA210" s="93">
        <v>0.17</v>
      </c>
      <c r="BB210" s="93">
        <v>0.17</v>
      </c>
      <c r="BF210" t="s">
        <v>247</v>
      </c>
      <c r="BG210" t="s">
        <v>265</v>
      </c>
      <c r="BH210" t="s">
        <v>249</v>
      </c>
      <c r="BI210" t="s">
        <v>1509</v>
      </c>
      <c r="BJ210">
        <v>0.5</v>
      </c>
    </row>
    <row r="211" spans="1:62" ht="30" customHeight="1" x14ac:dyDescent="0.2">
      <c r="A211" s="20" t="s">
        <v>1366</v>
      </c>
      <c r="B211" s="21" t="s">
        <v>1367</v>
      </c>
      <c r="C211" s="22">
        <v>2000</v>
      </c>
      <c r="D211" s="21" t="s">
        <v>1368</v>
      </c>
      <c r="E211" s="21" t="s">
        <v>231</v>
      </c>
      <c r="F211" s="21" t="s">
        <v>525</v>
      </c>
      <c r="G211" s="21" t="s">
        <v>150</v>
      </c>
      <c r="H211" s="21" t="s">
        <v>108</v>
      </c>
      <c r="I211" s="21"/>
      <c r="J211" s="21" t="s">
        <v>132</v>
      </c>
      <c r="K211" s="21" t="s">
        <v>330</v>
      </c>
      <c r="L211" s="21"/>
      <c r="M211" s="23" t="s">
        <v>1369</v>
      </c>
      <c r="N211" s="21" t="s">
        <v>323</v>
      </c>
      <c r="O211" s="21" t="s">
        <v>1370</v>
      </c>
      <c r="P211" s="21"/>
      <c r="Q211" s="21"/>
      <c r="R211" s="21"/>
      <c r="S211" s="21">
        <v>3</v>
      </c>
      <c r="T211" s="21" t="s">
        <v>1371</v>
      </c>
      <c r="U211" s="21"/>
      <c r="V211" s="14" t="s">
        <v>97</v>
      </c>
      <c r="W211" s="17">
        <v>0.3</v>
      </c>
      <c r="X211" s="17">
        <v>0.42</v>
      </c>
      <c r="Y211" s="17">
        <v>0.42</v>
      </c>
      <c r="Z211" s="17">
        <v>0.5</v>
      </c>
      <c r="AA211" s="18" t="b">
        <f>FALSE()</f>
        <v>0</v>
      </c>
      <c r="AB211" s="18" t="s">
        <v>98</v>
      </c>
      <c r="AC211" s="19">
        <v>0.25</v>
      </c>
      <c r="AD211" s="19">
        <v>0.25</v>
      </c>
      <c r="AE211" s="19">
        <v>8.3000000000000004E-2</v>
      </c>
      <c r="AF211" s="19">
        <v>8.3000000000000004E-2</v>
      </c>
      <c r="AG211" s="19">
        <v>8.3000000000000004E-2</v>
      </c>
      <c r="AH211" s="19">
        <v>8.3000000000000004E-2</v>
      </c>
      <c r="AI211" s="19">
        <v>8.3000000000000004E-2</v>
      </c>
      <c r="AJ211" s="19">
        <v>8.3000000000000004E-2</v>
      </c>
      <c r="AK211" s="18" t="s">
        <v>333</v>
      </c>
      <c r="BF211" t="s">
        <v>99</v>
      </c>
      <c r="BH211" t="s">
        <v>100</v>
      </c>
      <c r="BI211" t="s">
        <v>101</v>
      </c>
    </row>
    <row r="212" spans="1:62" ht="15.75" customHeight="1" x14ac:dyDescent="0.2">
      <c r="A212" s="99" t="s">
        <v>2203</v>
      </c>
      <c r="B212" s="102" t="s">
        <v>1503</v>
      </c>
      <c r="C212" s="104">
        <v>2021</v>
      </c>
      <c r="D212" s="102" t="s">
        <v>1504</v>
      </c>
      <c r="E212" s="102" t="s">
        <v>231</v>
      </c>
      <c r="F212" s="102" t="s">
        <v>1278</v>
      </c>
      <c r="G212" s="102" t="s">
        <v>844</v>
      </c>
      <c r="H212" s="102" t="s">
        <v>91</v>
      </c>
      <c r="I212" s="102" t="s">
        <v>2198</v>
      </c>
      <c r="J212" s="102" t="s">
        <v>1505</v>
      </c>
      <c r="K212" s="102" t="s">
        <v>1278</v>
      </c>
      <c r="L212" s="102"/>
      <c r="M212" s="107" t="s">
        <v>1506</v>
      </c>
      <c r="N212" s="102" t="s">
        <v>1280</v>
      </c>
      <c r="O212" s="102" t="s">
        <v>1507</v>
      </c>
      <c r="P212" s="99"/>
      <c r="Q212" s="102" t="s">
        <v>2121</v>
      </c>
      <c r="R212" s="99" t="s">
        <v>722</v>
      </c>
      <c r="S212" s="102">
        <v>1</v>
      </c>
      <c r="T212" s="102" t="s">
        <v>1508</v>
      </c>
      <c r="U212" s="102" t="s">
        <v>2197</v>
      </c>
      <c r="V212" s="21" t="s">
        <v>1025</v>
      </c>
      <c r="W212" s="17">
        <v>0.77</v>
      </c>
      <c r="X212" s="17">
        <v>0.66</v>
      </c>
      <c r="Y212" s="17">
        <v>0.2</v>
      </c>
      <c r="Z212" s="17">
        <v>0.92</v>
      </c>
      <c r="AA212" s="18" t="b">
        <f>TRUE()</f>
        <v>1</v>
      </c>
      <c r="AB212" s="18" t="s">
        <v>246</v>
      </c>
      <c r="AC212" s="19">
        <v>0</v>
      </c>
      <c r="AD212" s="19">
        <v>0</v>
      </c>
      <c r="AE212" s="19">
        <v>0.84399999999999997</v>
      </c>
      <c r="AF212" s="19">
        <v>0</v>
      </c>
      <c r="AG212" s="19">
        <v>0</v>
      </c>
      <c r="AH212" s="19">
        <v>0.156</v>
      </c>
      <c r="AI212" s="19">
        <v>0</v>
      </c>
      <c r="AJ212" s="19">
        <v>0</v>
      </c>
      <c r="AK212" s="18" t="s">
        <v>342</v>
      </c>
      <c r="AL212">
        <v>0.17</v>
      </c>
      <c r="AM212">
        <v>0</v>
      </c>
      <c r="AN212">
        <v>0.17</v>
      </c>
      <c r="AO212">
        <v>0.17</v>
      </c>
      <c r="AP212">
        <v>0.5</v>
      </c>
      <c r="AQ212">
        <v>0.17</v>
      </c>
      <c r="AR212">
        <v>0.56999999999999995</v>
      </c>
      <c r="AT212" s="86" t="s">
        <v>2211</v>
      </c>
      <c r="AW212" s="93">
        <v>0.17</v>
      </c>
      <c r="AX212" s="93">
        <v>0.17</v>
      </c>
      <c r="AY212" s="93">
        <f>(0.5+0.33)/2</f>
        <v>0.41500000000000004</v>
      </c>
      <c r="AZ212" s="93">
        <v>0.17</v>
      </c>
      <c r="BA212" s="93">
        <v>0.17</v>
      </c>
      <c r="BB212" s="93">
        <v>0.17</v>
      </c>
      <c r="BF212" t="s">
        <v>247</v>
      </c>
      <c r="BG212" t="s">
        <v>265</v>
      </c>
      <c r="BH212" t="s">
        <v>249</v>
      </c>
      <c r="BI212" t="s">
        <v>1509</v>
      </c>
      <c r="BJ212">
        <v>0.5</v>
      </c>
    </row>
    <row r="213" spans="1:62" ht="15.75" customHeight="1" x14ac:dyDescent="0.2">
      <c r="A213" s="2" t="s">
        <v>1377</v>
      </c>
      <c r="B213" s="2" t="s">
        <v>1378</v>
      </c>
      <c r="C213" s="2">
        <v>2000</v>
      </c>
      <c r="D213" s="2" t="s">
        <v>1379</v>
      </c>
      <c r="E213" s="28" t="s">
        <v>231</v>
      </c>
      <c r="F213" s="2" t="s">
        <v>1023</v>
      </c>
      <c r="G213" s="2" t="s">
        <v>107</v>
      </c>
      <c r="H213" s="2" t="s">
        <v>108</v>
      </c>
      <c r="I213" s="2"/>
      <c r="J213" s="2"/>
      <c r="K213" s="2"/>
      <c r="L213" s="2"/>
      <c r="M213" s="2" t="s">
        <v>1380</v>
      </c>
      <c r="N213" s="28" t="s">
        <v>199</v>
      </c>
      <c r="O213" s="2" t="s">
        <v>556</v>
      </c>
      <c r="P213" s="2"/>
      <c r="Q213" s="2" t="s">
        <v>901</v>
      </c>
      <c r="R213" s="2"/>
      <c r="S213" s="28">
        <v>2</v>
      </c>
      <c r="T213" s="2" t="s">
        <v>1381</v>
      </c>
      <c r="U213" s="2"/>
      <c r="V213" s="2" t="s">
        <v>1025</v>
      </c>
      <c r="W213" s="17">
        <v>0.5</v>
      </c>
      <c r="X213" s="17">
        <v>0.3</v>
      </c>
      <c r="Y213" s="17">
        <v>0.1</v>
      </c>
      <c r="Z213" s="17">
        <v>0.6</v>
      </c>
      <c r="AA213" s="18" t="b">
        <f>FALSE()</f>
        <v>0</v>
      </c>
      <c r="AB213" s="18" t="s">
        <v>98</v>
      </c>
      <c r="AC213" s="19">
        <v>0.107</v>
      </c>
      <c r="AD213" s="19">
        <v>0.107</v>
      </c>
      <c r="AE213" s="19">
        <v>0.17899999999999999</v>
      </c>
      <c r="AF213" s="19">
        <v>0.107</v>
      </c>
      <c r="AG213" s="19">
        <v>0.107</v>
      </c>
      <c r="AH213" s="19">
        <v>0.17899999999999999</v>
      </c>
      <c r="AI213" s="19">
        <v>0.107</v>
      </c>
      <c r="AJ213" s="19">
        <v>0.107</v>
      </c>
      <c r="AK213" s="18" t="s">
        <v>342</v>
      </c>
      <c r="BF213" t="s">
        <v>99</v>
      </c>
      <c r="BH213" t="s">
        <v>100</v>
      </c>
      <c r="BI213" t="s">
        <v>101</v>
      </c>
    </row>
    <row r="214" spans="1:62" ht="15.75" customHeight="1" x14ac:dyDescent="0.2">
      <c r="A214" s="99" t="s">
        <v>2204</v>
      </c>
      <c r="B214" s="102" t="s">
        <v>1503</v>
      </c>
      <c r="C214" s="104">
        <v>2021</v>
      </c>
      <c r="D214" s="102" t="s">
        <v>1504</v>
      </c>
      <c r="E214" s="102" t="s">
        <v>231</v>
      </c>
      <c r="F214" s="102" t="s">
        <v>1278</v>
      </c>
      <c r="G214" s="102" t="s">
        <v>844</v>
      </c>
      <c r="H214" s="102" t="s">
        <v>91</v>
      </c>
      <c r="I214" s="102" t="s">
        <v>2198</v>
      </c>
      <c r="J214" s="102" t="s">
        <v>1505</v>
      </c>
      <c r="K214" s="102" t="s">
        <v>1278</v>
      </c>
      <c r="L214" s="102"/>
      <c r="M214" s="107" t="s">
        <v>1506</v>
      </c>
      <c r="N214" s="102" t="s">
        <v>1280</v>
      </c>
      <c r="O214" s="102" t="s">
        <v>1507</v>
      </c>
      <c r="P214" s="99"/>
      <c r="Q214" s="102" t="s">
        <v>2121</v>
      </c>
      <c r="R214" s="99" t="s">
        <v>722</v>
      </c>
      <c r="S214" s="102">
        <v>1</v>
      </c>
      <c r="T214" s="102" t="s">
        <v>1508</v>
      </c>
      <c r="U214" s="102" t="s">
        <v>2197</v>
      </c>
      <c r="V214" s="102" t="s">
        <v>1025</v>
      </c>
      <c r="W214" s="17">
        <v>0.77</v>
      </c>
      <c r="X214" s="17">
        <v>0.66</v>
      </c>
      <c r="Y214" s="17">
        <v>0.2</v>
      </c>
      <c r="Z214" s="17">
        <v>0.92</v>
      </c>
      <c r="AA214" s="18" t="b">
        <f>TRUE()</f>
        <v>1</v>
      </c>
      <c r="AB214" s="18" t="s">
        <v>246</v>
      </c>
      <c r="AC214" s="19">
        <v>0</v>
      </c>
      <c r="AD214" s="19">
        <v>0</v>
      </c>
      <c r="AE214" s="19">
        <v>0.84399999999999997</v>
      </c>
      <c r="AF214" s="19">
        <v>0</v>
      </c>
      <c r="AG214" s="19">
        <v>0</v>
      </c>
      <c r="AH214" s="19">
        <v>0.156</v>
      </c>
      <c r="AI214" s="19">
        <v>0</v>
      </c>
      <c r="AJ214" s="19">
        <v>0</v>
      </c>
      <c r="AK214" s="18" t="s">
        <v>342</v>
      </c>
      <c r="AL214">
        <v>0.17</v>
      </c>
      <c r="AM214">
        <v>0</v>
      </c>
      <c r="AN214">
        <v>0.17</v>
      </c>
      <c r="AO214">
        <v>0.17</v>
      </c>
      <c r="AP214">
        <v>0.5</v>
      </c>
      <c r="AQ214">
        <v>0.17</v>
      </c>
      <c r="AR214">
        <v>0</v>
      </c>
      <c r="AT214" s="86" t="s">
        <v>2212</v>
      </c>
      <c r="AW214">
        <f>(AW209+AW212)/2</f>
        <v>0.17</v>
      </c>
      <c r="AX214">
        <f>(AX209+AX212)/2</f>
        <v>0.17</v>
      </c>
      <c r="AY214">
        <f>(AY209+AY212)/2</f>
        <v>0.41500000000000004</v>
      </c>
      <c r="AZ214">
        <f>(AZ209+AZ212)/2</f>
        <v>0.33500000000000002</v>
      </c>
      <c r="BA214">
        <f>(BA209+BA212)/2</f>
        <v>0.17</v>
      </c>
      <c r="BB214">
        <f>(BB209+BB212)/2</f>
        <v>0.17</v>
      </c>
      <c r="BF214" t="s">
        <v>247</v>
      </c>
      <c r="BG214" t="s">
        <v>265</v>
      </c>
      <c r="BH214" t="s">
        <v>249</v>
      </c>
      <c r="BI214" t="s">
        <v>1509</v>
      </c>
      <c r="BJ214">
        <v>0.5</v>
      </c>
    </row>
    <row r="215" spans="1:62" ht="30" customHeight="1" x14ac:dyDescent="0.2">
      <c r="A215" s="25" t="s">
        <v>1731</v>
      </c>
      <c r="B215" s="25" t="s">
        <v>714</v>
      </c>
      <c r="C215" s="25">
        <v>1939</v>
      </c>
      <c r="D215" s="25" t="s">
        <v>1732</v>
      </c>
      <c r="E215" s="25" t="s">
        <v>716</v>
      </c>
      <c r="F215" s="25" t="s">
        <v>292</v>
      </c>
      <c r="G215" s="25" t="s">
        <v>329</v>
      </c>
      <c r="H215" s="25" t="s">
        <v>91</v>
      </c>
      <c r="I215" s="25" t="s">
        <v>1733</v>
      </c>
      <c r="J215" s="25" t="s">
        <v>718</v>
      </c>
      <c r="K215" s="25" t="s">
        <v>295</v>
      </c>
      <c r="L215" s="25"/>
      <c r="M215" s="25" t="s">
        <v>1733</v>
      </c>
      <c r="N215" s="25" t="s">
        <v>297</v>
      </c>
      <c r="O215" s="25" t="s">
        <v>721</v>
      </c>
      <c r="P215" s="25"/>
      <c r="Q215" s="25"/>
      <c r="R215" s="25"/>
      <c r="S215" s="25">
        <v>4</v>
      </c>
      <c r="T215" s="25"/>
      <c r="U215" s="25"/>
      <c r="V215" s="25" t="s">
        <v>725</v>
      </c>
      <c r="AK215" t="s">
        <v>299</v>
      </c>
      <c r="AL215">
        <v>0</v>
      </c>
      <c r="AM215">
        <v>0</v>
      </c>
      <c r="AN215">
        <v>0.5</v>
      </c>
      <c r="AO215">
        <v>0.17</v>
      </c>
      <c r="AP215">
        <v>0.5</v>
      </c>
      <c r="AQ215">
        <v>0</v>
      </c>
      <c r="AR215">
        <v>0</v>
      </c>
      <c r="AS215" t="s">
        <v>299</v>
      </c>
      <c r="AT215" t="s">
        <v>1721</v>
      </c>
      <c r="AV215" t="s">
        <v>1734</v>
      </c>
      <c r="BF215" t="s">
        <v>247</v>
      </c>
      <c r="BG215" t="s">
        <v>615</v>
      </c>
      <c r="BH215" s="86" t="s">
        <v>2034</v>
      </c>
      <c r="BI215" t="s">
        <v>1702</v>
      </c>
      <c r="BJ215">
        <v>0</v>
      </c>
    </row>
    <row r="216" spans="1:62" ht="30" customHeight="1" x14ac:dyDescent="0.2">
      <c r="A216" s="20" t="s">
        <v>1392</v>
      </c>
      <c r="B216" s="21" t="s">
        <v>1393</v>
      </c>
      <c r="C216" s="22">
        <v>2008</v>
      </c>
      <c r="D216" s="21" t="s">
        <v>1394</v>
      </c>
      <c r="E216" s="21" t="s">
        <v>231</v>
      </c>
      <c r="F216" s="21" t="s">
        <v>447</v>
      </c>
      <c r="G216" s="21" t="s">
        <v>131</v>
      </c>
      <c r="H216" s="21" t="s">
        <v>108</v>
      </c>
      <c r="I216" s="21"/>
      <c r="J216" s="21" t="s">
        <v>109</v>
      </c>
      <c r="K216" s="21" t="s">
        <v>448</v>
      </c>
      <c r="L216" s="21"/>
      <c r="M216" s="23" t="s">
        <v>1395</v>
      </c>
      <c r="N216" s="21" t="s">
        <v>192</v>
      </c>
      <c r="O216" s="21" t="s">
        <v>464</v>
      </c>
      <c r="P216" s="21"/>
      <c r="Q216" s="21"/>
      <c r="R216" s="21"/>
      <c r="S216" s="21">
        <v>3</v>
      </c>
      <c r="T216" s="21" t="s">
        <v>1396</v>
      </c>
      <c r="U216" s="21"/>
      <c r="V216" s="14" t="s">
        <v>97</v>
      </c>
      <c r="W216" s="17">
        <v>0.55000000000000004</v>
      </c>
      <c r="X216" s="17">
        <v>0.4</v>
      </c>
      <c r="Y216" s="17">
        <v>0.3</v>
      </c>
      <c r="Z216" s="17">
        <v>0.95</v>
      </c>
      <c r="AA216" s="18" t="b">
        <f>FALSE()</f>
        <v>0</v>
      </c>
      <c r="AB216" s="18" t="s">
        <v>98</v>
      </c>
      <c r="AC216" s="19">
        <v>0.51500000000000001</v>
      </c>
      <c r="AD216" s="19">
        <v>0.39400000000000002</v>
      </c>
      <c r="AE216" s="19">
        <v>9.0999999999999998E-2</v>
      </c>
      <c r="AF216" s="19">
        <v>0</v>
      </c>
      <c r="AG216" s="19">
        <v>0</v>
      </c>
      <c r="AH216" s="19">
        <v>0</v>
      </c>
      <c r="AI216" s="19">
        <v>0</v>
      </c>
      <c r="AJ216" s="19">
        <v>0</v>
      </c>
      <c r="AK216" s="18" t="s">
        <v>333</v>
      </c>
      <c r="BF216" t="s">
        <v>99</v>
      </c>
      <c r="BH216" t="s">
        <v>100</v>
      </c>
      <c r="BI216" t="s">
        <v>101</v>
      </c>
    </row>
    <row r="217" spans="1:62" ht="30" customHeight="1" x14ac:dyDescent="0.2">
      <c r="A217" s="13" t="s">
        <v>1397</v>
      </c>
      <c r="B217" s="14" t="s">
        <v>1398</v>
      </c>
      <c r="C217" s="15">
        <v>2013</v>
      </c>
      <c r="D217" s="14" t="s">
        <v>1399</v>
      </c>
      <c r="E217" s="14" t="s">
        <v>89</v>
      </c>
      <c r="F217" s="14" t="s">
        <v>106</v>
      </c>
      <c r="G217" s="14" t="s">
        <v>107</v>
      </c>
      <c r="H217" s="14" t="s">
        <v>108</v>
      </c>
      <c r="I217" s="14"/>
      <c r="J217" s="14" t="s">
        <v>109</v>
      </c>
      <c r="K217" s="14" t="s">
        <v>93</v>
      </c>
      <c r="L217" s="14"/>
      <c r="M217" s="16" t="s">
        <v>1400</v>
      </c>
      <c r="N217" s="14" t="s">
        <v>111</v>
      </c>
      <c r="O217" s="14" t="s">
        <v>176</v>
      </c>
      <c r="P217" s="14"/>
      <c r="Q217" s="14"/>
      <c r="R217" s="14"/>
      <c r="S217" s="14">
        <v>4</v>
      </c>
      <c r="T217" s="14" t="s">
        <v>1401</v>
      </c>
      <c r="U217" s="14"/>
      <c r="V217" s="14" t="s">
        <v>97</v>
      </c>
      <c r="W217" s="17">
        <v>0.3</v>
      </c>
      <c r="X217" s="17">
        <v>0.4</v>
      </c>
      <c r="Y217" s="17">
        <v>0.65</v>
      </c>
      <c r="Z217" s="17">
        <v>0.55000000000000004</v>
      </c>
      <c r="AA217" s="18" t="b">
        <f>FALSE()</f>
        <v>0</v>
      </c>
      <c r="AB217" s="18" t="s">
        <v>98</v>
      </c>
      <c r="AC217" s="19">
        <v>0.312</v>
      </c>
      <c r="AD217" s="19">
        <v>0.625</v>
      </c>
      <c r="AE217" s="19">
        <v>0</v>
      </c>
      <c r="AF217" s="19">
        <v>6.2E-2</v>
      </c>
      <c r="AG217" s="19">
        <v>0</v>
      </c>
      <c r="AH217" s="19">
        <v>0</v>
      </c>
      <c r="AI217" s="19">
        <v>0</v>
      </c>
      <c r="AJ217" s="19">
        <v>0</v>
      </c>
      <c r="AK217" s="18" t="s">
        <v>89</v>
      </c>
      <c r="BF217" t="s">
        <v>99</v>
      </c>
      <c r="BH217" t="s">
        <v>100</v>
      </c>
      <c r="BI217" t="s">
        <v>101</v>
      </c>
    </row>
    <row r="218" spans="1:62" ht="30" customHeight="1" x14ac:dyDescent="0.2">
      <c r="A218" s="20" t="s">
        <v>1605</v>
      </c>
      <c r="B218" s="21" t="s">
        <v>1606</v>
      </c>
      <c r="C218" s="27">
        <v>2025</v>
      </c>
      <c r="D218" s="21" t="s">
        <v>1607</v>
      </c>
      <c r="E218" s="21" t="s">
        <v>788</v>
      </c>
      <c r="F218" s="21" t="s">
        <v>952</v>
      </c>
      <c r="G218" s="21" t="s">
        <v>367</v>
      </c>
      <c r="H218" s="21" t="s">
        <v>306</v>
      </c>
      <c r="I218" s="21"/>
      <c r="J218" s="21" t="s">
        <v>368</v>
      </c>
      <c r="K218" s="21" t="s">
        <v>295</v>
      </c>
      <c r="L218" s="21"/>
      <c r="M218" s="23" t="s">
        <v>1608</v>
      </c>
      <c r="N218" s="21" t="s">
        <v>297</v>
      </c>
      <c r="O218" s="21" t="s">
        <v>377</v>
      </c>
      <c r="P218" s="21"/>
      <c r="Q218" s="21" t="s">
        <v>113</v>
      </c>
      <c r="R218" s="21"/>
      <c r="S218" s="21">
        <v>4</v>
      </c>
      <c r="T218" s="21" t="s">
        <v>2120</v>
      </c>
      <c r="U218" s="21"/>
      <c r="V218" s="21" t="s">
        <v>97</v>
      </c>
      <c r="W218" s="17">
        <v>0.35</v>
      </c>
      <c r="X218" s="17">
        <v>0.3</v>
      </c>
      <c r="Y218" s="17">
        <v>0.38</v>
      </c>
      <c r="Z218" s="17">
        <v>0</v>
      </c>
      <c r="AA218" s="18" t="b">
        <f>TRUE()</f>
        <v>1</v>
      </c>
      <c r="AB218" s="18" t="s">
        <v>246</v>
      </c>
      <c r="AC218" s="19">
        <v>0.184</v>
      </c>
      <c r="AD218" s="19">
        <v>0</v>
      </c>
      <c r="AE218" s="19">
        <v>0</v>
      </c>
      <c r="AF218" s="19">
        <v>0</v>
      </c>
      <c r="AG218" s="19">
        <v>0</v>
      </c>
      <c r="AH218" s="19">
        <v>0</v>
      </c>
      <c r="AI218" s="19">
        <v>0.81599999999999995</v>
      </c>
      <c r="AJ218" s="19">
        <v>0</v>
      </c>
      <c r="AK218" s="18" t="s">
        <v>299</v>
      </c>
      <c r="AL218">
        <v>0</v>
      </c>
      <c r="AM218">
        <v>0</v>
      </c>
      <c r="AN218">
        <v>0.33</v>
      </c>
      <c r="AO218">
        <v>0</v>
      </c>
      <c r="AP218">
        <v>0.67</v>
      </c>
      <c r="AQ218">
        <v>0</v>
      </c>
      <c r="AR218">
        <v>0</v>
      </c>
      <c r="BF218" t="s">
        <v>247</v>
      </c>
      <c r="BG218" t="s">
        <v>265</v>
      </c>
      <c r="BH218" t="s">
        <v>249</v>
      </c>
      <c r="BI218" t="s">
        <v>1609</v>
      </c>
      <c r="BJ218">
        <v>0</v>
      </c>
    </row>
    <row r="219" spans="1:62" ht="30" customHeight="1" x14ac:dyDescent="0.2">
      <c r="A219" s="13" t="s">
        <v>1410</v>
      </c>
      <c r="B219" s="14" t="s">
        <v>1411</v>
      </c>
      <c r="C219" s="15">
        <v>1900</v>
      </c>
      <c r="D219" s="14" t="s">
        <v>1412</v>
      </c>
      <c r="E219" s="14" t="s">
        <v>231</v>
      </c>
      <c r="F219" s="14" t="s">
        <v>253</v>
      </c>
      <c r="G219" s="14" t="s">
        <v>131</v>
      </c>
      <c r="H219" s="14" t="s">
        <v>108</v>
      </c>
      <c r="I219" s="14"/>
      <c r="J219" s="14" t="s">
        <v>417</v>
      </c>
      <c r="K219" s="14" t="s">
        <v>330</v>
      </c>
      <c r="L219" s="14"/>
      <c r="M219" s="16" t="s">
        <v>1413</v>
      </c>
      <c r="N219" s="14" t="s">
        <v>256</v>
      </c>
      <c r="O219" s="14" t="s">
        <v>1407</v>
      </c>
      <c r="P219" s="14"/>
      <c r="Q219" s="14"/>
      <c r="R219" s="14"/>
      <c r="S219" s="14">
        <v>2</v>
      </c>
      <c r="T219" s="14" t="s">
        <v>1414</v>
      </c>
      <c r="U219" s="14"/>
      <c r="V219" s="14" t="s">
        <v>341</v>
      </c>
      <c r="W219" s="17">
        <v>0.6</v>
      </c>
      <c r="X219" s="17">
        <v>0.4</v>
      </c>
      <c r="Y219" s="17">
        <v>0.1</v>
      </c>
      <c r="Z219" s="17">
        <v>0.7</v>
      </c>
      <c r="AA219" s="18" t="b">
        <f>FALSE()</f>
        <v>0</v>
      </c>
      <c r="AB219" s="18" t="s">
        <v>98</v>
      </c>
      <c r="AC219" s="19">
        <v>8.7999999999999995E-2</v>
      </c>
      <c r="AD219" s="19">
        <v>8.7999999999999995E-2</v>
      </c>
      <c r="AE219" s="19">
        <v>0.26500000000000001</v>
      </c>
      <c r="AF219" s="19">
        <v>8.7999999999999995E-2</v>
      </c>
      <c r="AG219" s="19">
        <v>8.7999999999999995E-2</v>
      </c>
      <c r="AH219" s="19">
        <v>0.20599999999999999</v>
      </c>
      <c r="AI219" s="19">
        <v>8.7999999999999995E-2</v>
      </c>
      <c r="AJ219" s="19">
        <v>8.7999999999999995E-2</v>
      </c>
      <c r="AK219" s="18" t="s">
        <v>342</v>
      </c>
      <c r="BF219" t="s">
        <v>99</v>
      </c>
      <c r="BH219" t="s">
        <v>100</v>
      </c>
      <c r="BI219" t="s">
        <v>101</v>
      </c>
    </row>
    <row r="220" spans="1:62" ht="30" customHeight="1" x14ac:dyDescent="0.2">
      <c r="A220" s="25" t="s">
        <v>1735</v>
      </c>
      <c r="B220" s="25" t="s">
        <v>714</v>
      </c>
      <c r="C220" s="25">
        <v>1939</v>
      </c>
      <c r="D220" s="25" t="s">
        <v>1736</v>
      </c>
      <c r="E220" s="25" t="s">
        <v>716</v>
      </c>
      <c r="F220" s="25" t="s">
        <v>292</v>
      </c>
      <c r="G220" s="25" t="s">
        <v>329</v>
      </c>
      <c r="H220" s="25" t="s">
        <v>91</v>
      </c>
      <c r="I220" s="25" t="s">
        <v>1737</v>
      </c>
      <c r="J220" s="25" t="s">
        <v>718</v>
      </c>
      <c r="K220" s="25" t="s">
        <v>295</v>
      </c>
      <c r="L220" s="25"/>
      <c r="M220" s="25" t="s">
        <v>1737</v>
      </c>
      <c r="N220" s="25" t="s">
        <v>297</v>
      </c>
      <c r="O220" s="25" t="s">
        <v>721</v>
      </c>
      <c r="P220" s="25"/>
      <c r="Q220" s="25"/>
      <c r="R220" s="25"/>
      <c r="S220" s="25">
        <v>4</v>
      </c>
      <c r="T220" s="25"/>
      <c r="U220" s="25"/>
      <c r="V220" s="25" t="s">
        <v>725</v>
      </c>
      <c r="AK220" t="s">
        <v>299</v>
      </c>
      <c r="AL220">
        <v>0</v>
      </c>
      <c r="AM220">
        <v>0</v>
      </c>
      <c r="AN220">
        <v>0.5</v>
      </c>
      <c r="AO220">
        <v>0.17</v>
      </c>
      <c r="AP220">
        <v>0.33</v>
      </c>
      <c r="AQ220">
        <v>0</v>
      </c>
      <c r="AR220">
        <v>0</v>
      </c>
      <c r="AS220" t="s">
        <v>299</v>
      </c>
      <c r="AT220" t="s">
        <v>1721</v>
      </c>
      <c r="AV220" t="s">
        <v>1738</v>
      </c>
      <c r="BF220" t="s">
        <v>247</v>
      </c>
      <c r="BG220" t="s">
        <v>265</v>
      </c>
      <c r="BH220" s="86" t="s">
        <v>2034</v>
      </c>
      <c r="BI220" t="s">
        <v>1702</v>
      </c>
      <c r="BJ220">
        <v>0</v>
      </c>
    </row>
    <row r="221" spans="1:62" ht="30" customHeight="1" x14ac:dyDescent="0.2">
      <c r="A221" s="98" t="s">
        <v>1176</v>
      </c>
      <c r="B221" s="21" t="s">
        <v>1177</v>
      </c>
      <c r="C221" s="22">
        <v>2026</v>
      </c>
      <c r="D221" s="21" t="s">
        <v>1178</v>
      </c>
      <c r="E221" s="21" t="s">
        <v>89</v>
      </c>
      <c r="F221" s="21" t="s">
        <v>447</v>
      </c>
      <c r="G221" s="21" t="s">
        <v>293</v>
      </c>
      <c r="H221" s="21" t="s">
        <v>91</v>
      </c>
      <c r="I221" s="21"/>
      <c r="J221" s="21" t="s">
        <v>718</v>
      </c>
      <c r="K221" s="21" t="s">
        <v>93</v>
      </c>
      <c r="L221" s="21"/>
      <c r="M221" s="23" t="s">
        <v>1179</v>
      </c>
      <c r="N221" s="21" t="s">
        <v>192</v>
      </c>
      <c r="O221" s="21" t="s">
        <v>1180</v>
      </c>
      <c r="P221" s="21"/>
      <c r="Q221" s="21"/>
      <c r="R221" s="21"/>
      <c r="S221" s="21">
        <v>2</v>
      </c>
      <c r="T221" s="21" t="s">
        <v>1181</v>
      </c>
      <c r="U221" s="21"/>
      <c r="V221" s="21" t="s">
        <v>97</v>
      </c>
      <c r="W221" s="17">
        <v>0.5</v>
      </c>
      <c r="X221" s="17">
        <v>0.35</v>
      </c>
      <c r="Y221" s="17">
        <v>0.45</v>
      </c>
      <c r="Z221" s="17">
        <v>0.85</v>
      </c>
      <c r="AA221" s="18" t="b">
        <f>TRUE()</f>
        <v>1</v>
      </c>
      <c r="AB221" s="18" t="s">
        <v>246</v>
      </c>
      <c r="AC221" s="19">
        <v>0.40500000000000003</v>
      </c>
      <c r="AD221" s="19">
        <v>0.52400000000000002</v>
      </c>
      <c r="AE221" s="19">
        <v>0</v>
      </c>
      <c r="AF221" s="19">
        <v>7.0999999999999994E-2</v>
      </c>
      <c r="AG221" s="19">
        <v>0</v>
      </c>
      <c r="AH221" s="19">
        <v>0</v>
      </c>
      <c r="AI221" s="19">
        <v>0</v>
      </c>
      <c r="AJ221" s="19">
        <v>0</v>
      </c>
      <c r="AK221" s="18" t="s">
        <v>89</v>
      </c>
      <c r="AL221">
        <v>0.33</v>
      </c>
      <c r="AM221">
        <v>0.14000000000000001</v>
      </c>
      <c r="AN221">
        <v>0.33</v>
      </c>
      <c r="AO221">
        <v>0.83</v>
      </c>
      <c r="AP221">
        <v>0.33</v>
      </c>
      <c r="AQ221">
        <v>0.33</v>
      </c>
      <c r="AR221">
        <v>0.14000000000000001</v>
      </c>
      <c r="BF221" t="s">
        <v>247</v>
      </c>
      <c r="BG221" t="s">
        <v>248</v>
      </c>
      <c r="BH221" t="s">
        <v>249</v>
      </c>
      <c r="BI221" t="s">
        <v>1182</v>
      </c>
      <c r="BJ221">
        <v>0.5</v>
      </c>
    </row>
    <row r="222" spans="1:62" ht="30" customHeight="1" x14ac:dyDescent="0.2">
      <c r="A222" s="100" t="s">
        <v>384</v>
      </c>
      <c r="B222" s="14" t="s">
        <v>385</v>
      </c>
      <c r="C222" s="15" t="s">
        <v>386</v>
      </c>
      <c r="D222" s="14" t="s">
        <v>387</v>
      </c>
      <c r="E222" s="14" t="s">
        <v>231</v>
      </c>
      <c r="F222" s="14" t="s">
        <v>358</v>
      </c>
      <c r="G222" s="14" t="s">
        <v>388</v>
      </c>
      <c r="H222" s="14" t="s">
        <v>91</v>
      </c>
      <c r="I222" s="14"/>
      <c r="J222" s="14" t="s">
        <v>389</v>
      </c>
      <c r="K222" s="14" t="s">
        <v>360</v>
      </c>
      <c r="L222" s="14"/>
      <c r="M222" s="16" t="s">
        <v>390</v>
      </c>
      <c r="N222" s="14" t="s">
        <v>192</v>
      </c>
      <c r="O222" s="14" t="s">
        <v>391</v>
      </c>
      <c r="P222" s="14"/>
      <c r="Q222" s="14"/>
      <c r="R222" s="14"/>
      <c r="S222" s="14">
        <v>2</v>
      </c>
      <c r="T222" s="14"/>
      <c r="U222" s="14"/>
      <c r="V222" s="21" t="s">
        <v>97</v>
      </c>
      <c r="W222" s="17">
        <v>0.45</v>
      </c>
      <c r="X222" s="17">
        <v>0.42</v>
      </c>
      <c r="Y222" s="17">
        <v>0.4</v>
      </c>
      <c r="Z222" s="17">
        <v>0.95</v>
      </c>
      <c r="AA222" s="18" t="b">
        <f>TRUE()</f>
        <v>1</v>
      </c>
      <c r="AB222" s="18" t="s">
        <v>246</v>
      </c>
      <c r="AC222" s="19">
        <v>0.71799999999999997</v>
      </c>
      <c r="AD222" s="19">
        <v>0.20499999999999999</v>
      </c>
      <c r="AE222" s="19">
        <v>0</v>
      </c>
      <c r="AF222" s="19">
        <v>7.6999999999999999E-2</v>
      </c>
      <c r="AG222" s="19">
        <v>0</v>
      </c>
      <c r="AH222" s="19">
        <v>0</v>
      </c>
      <c r="AI222" s="19">
        <v>0</v>
      </c>
      <c r="AJ222" s="19">
        <v>0</v>
      </c>
      <c r="AK222" s="18" t="s">
        <v>333</v>
      </c>
      <c r="AL222">
        <v>0.5</v>
      </c>
      <c r="AM222">
        <v>0.56999999999999995</v>
      </c>
      <c r="AN222">
        <v>0</v>
      </c>
      <c r="AO222">
        <v>0</v>
      </c>
      <c r="AP222">
        <v>0</v>
      </c>
      <c r="AQ222">
        <v>0.33</v>
      </c>
      <c r="AR222">
        <v>0.14000000000000001</v>
      </c>
      <c r="BF222" t="s">
        <v>247</v>
      </c>
      <c r="BG222" t="s">
        <v>248</v>
      </c>
      <c r="BH222" t="s">
        <v>249</v>
      </c>
      <c r="BI222" t="s">
        <v>392</v>
      </c>
    </row>
    <row r="223" spans="1:62" ht="30" customHeight="1" x14ac:dyDescent="0.2">
      <c r="A223" s="98" t="s">
        <v>393</v>
      </c>
      <c r="B223" s="21" t="s">
        <v>394</v>
      </c>
      <c r="C223" s="22" t="s">
        <v>395</v>
      </c>
      <c r="D223" s="21" t="s">
        <v>396</v>
      </c>
      <c r="E223" s="21" t="s">
        <v>231</v>
      </c>
      <c r="F223" s="21" t="s">
        <v>358</v>
      </c>
      <c r="G223" s="21" t="s">
        <v>261</v>
      </c>
      <c r="H223" s="21" t="s">
        <v>91</v>
      </c>
      <c r="I223" s="21"/>
      <c r="J223" s="21" t="s">
        <v>359</v>
      </c>
      <c r="K223" s="21" t="s">
        <v>360</v>
      </c>
      <c r="L223" s="21"/>
      <c r="M223" s="23" t="s">
        <v>397</v>
      </c>
      <c r="N223" s="21" t="s">
        <v>192</v>
      </c>
      <c r="O223" s="21" t="s">
        <v>398</v>
      </c>
      <c r="P223" s="21"/>
      <c r="Q223" s="21"/>
      <c r="R223" s="21"/>
      <c r="S223" s="21">
        <v>3</v>
      </c>
      <c r="T223" s="21"/>
      <c r="U223" s="21"/>
      <c r="V223" s="21" t="s">
        <v>97</v>
      </c>
      <c r="W223" s="17">
        <v>0.5</v>
      </c>
      <c r="X223" s="17">
        <v>0.42</v>
      </c>
      <c r="Y223" s="17">
        <v>0.35</v>
      </c>
      <c r="Z223" s="17">
        <v>0.95</v>
      </c>
      <c r="AA223" s="18" t="b">
        <f>TRUE()</f>
        <v>1</v>
      </c>
      <c r="AB223" s="18" t="s">
        <v>246</v>
      </c>
      <c r="AC223" s="19">
        <v>0.71799999999999997</v>
      </c>
      <c r="AD223" s="19">
        <v>0.20499999999999999</v>
      </c>
      <c r="AE223" s="19">
        <v>0</v>
      </c>
      <c r="AF223" s="19">
        <v>7.6999999999999999E-2</v>
      </c>
      <c r="AG223" s="19">
        <v>0</v>
      </c>
      <c r="AH223" s="19">
        <v>0</v>
      </c>
      <c r="AI223" s="19">
        <v>0</v>
      </c>
      <c r="AJ223" s="19">
        <v>0</v>
      </c>
      <c r="AK223" s="18" t="s">
        <v>333</v>
      </c>
      <c r="AL223">
        <v>0.5</v>
      </c>
      <c r="AM223">
        <v>0.56999999999999995</v>
      </c>
      <c r="AN223">
        <v>0.67</v>
      </c>
      <c r="AO223">
        <v>1</v>
      </c>
      <c r="AP223">
        <v>0.5</v>
      </c>
      <c r="AQ223">
        <v>0.33</v>
      </c>
      <c r="AR223">
        <v>0.56999999999999995</v>
      </c>
      <c r="BF223" t="s">
        <v>247</v>
      </c>
      <c r="BG223" t="s">
        <v>265</v>
      </c>
      <c r="BH223" t="s">
        <v>249</v>
      </c>
      <c r="BI223" t="s">
        <v>399</v>
      </c>
      <c r="BJ223">
        <v>1</v>
      </c>
    </row>
    <row r="224" spans="1:62" ht="30" customHeight="1" x14ac:dyDescent="0.2">
      <c r="A224" s="54" t="s">
        <v>458</v>
      </c>
      <c r="B224" s="21" t="s">
        <v>459</v>
      </c>
      <c r="C224" s="22" t="s">
        <v>460</v>
      </c>
      <c r="D224" s="21" t="s">
        <v>461</v>
      </c>
      <c r="E224" s="21" t="s">
        <v>231</v>
      </c>
      <c r="F224" s="21" t="s">
        <v>447</v>
      </c>
      <c r="G224" s="21" t="s">
        <v>293</v>
      </c>
      <c r="H224" s="21" t="s">
        <v>91</v>
      </c>
      <c r="I224" s="21"/>
      <c r="J224" s="21" t="s">
        <v>462</v>
      </c>
      <c r="K224" s="21" t="s">
        <v>448</v>
      </c>
      <c r="L224" s="21"/>
      <c r="M224" s="23" t="s">
        <v>463</v>
      </c>
      <c r="N224" s="21" t="s">
        <v>192</v>
      </c>
      <c r="O224" s="21" t="s">
        <v>464</v>
      </c>
      <c r="P224" s="21"/>
      <c r="Q224" s="21"/>
      <c r="R224" s="21"/>
      <c r="S224" s="21">
        <v>3</v>
      </c>
      <c r="T224" s="21"/>
      <c r="U224" s="21"/>
      <c r="V224" s="21" t="s">
        <v>97</v>
      </c>
      <c r="W224" s="17">
        <v>0.5</v>
      </c>
      <c r="X224" s="17">
        <v>0.35</v>
      </c>
      <c r="Y224" s="17">
        <v>0.35</v>
      </c>
      <c r="Z224" s="17">
        <v>0.95</v>
      </c>
      <c r="AA224" s="18" t="b">
        <f>TRUE()</f>
        <v>1</v>
      </c>
      <c r="AB224" s="18" t="s">
        <v>246</v>
      </c>
      <c r="AC224" s="19">
        <v>0.51500000000000001</v>
      </c>
      <c r="AD224" s="19">
        <v>0.39400000000000002</v>
      </c>
      <c r="AE224" s="19">
        <v>9.0999999999999998E-2</v>
      </c>
      <c r="AF224" s="19">
        <v>0</v>
      </c>
      <c r="AG224" s="19">
        <v>0</v>
      </c>
      <c r="AH224" s="19">
        <v>0</v>
      </c>
      <c r="AI224" s="19">
        <v>0</v>
      </c>
      <c r="AJ224" s="19">
        <v>0</v>
      </c>
      <c r="AK224" s="18" t="s">
        <v>333</v>
      </c>
      <c r="AL224">
        <v>0.33</v>
      </c>
      <c r="AM224">
        <v>0.14000000000000001</v>
      </c>
      <c r="AN224">
        <v>0</v>
      </c>
      <c r="AO224">
        <v>0</v>
      </c>
      <c r="AP224">
        <v>0</v>
      </c>
      <c r="AQ224">
        <v>0.5</v>
      </c>
      <c r="AR224">
        <v>0.14000000000000001</v>
      </c>
      <c r="BF224" t="s">
        <v>247</v>
      </c>
      <c r="BG224" t="s">
        <v>265</v>
      </c>
      <c r="BH224" t="s">
        <v>249</v>
      </c>
      <c r="BI224" t="s">
        <v>465</v>
      </c>
    </row>
    <row r="225" spans="1:62" ht="30" customHeight="1" x14ac:dyDescent="0.2">
      <c r="A225" s="54" t="s">
        <v>854</v>
      </c>
      <c r="B225" s="21" t="s">
        <v>855</v>
      </c>
      <c r="C225" s="22" t="s">
        <v>460</v>
      </c>
      <c r="D225" s="21" t="s">
        <v>856</v>
      </c>
      <c r="E225" s="21" t="s">
        <v>737</v>
      </c>
      <c r="F225" s="21" t="s">
        <v>857</v>
      </c>
      <c r="G225" s="21" t="s">
        <v>261</v>
      </c>
      <c r="H225" s="21" t="s">
        <v>91</v>
      </c>
      <c r="I225" s="21"/>
      <c r="J225" s="21" t="s">
        <v>858</v>
      </c>
      <c r="K225" s="21" t="s">
        <v>859</v>
      </c>
      <c r="L225" s="21"/>
      <c r="M225" s="23" t="s">
        <v>860</v>
      </c>
      <c r="N225" s="21" t="s">
        <v>111</v>
      </c>
      <c r="O225" s="21" t="s">
        <v>464</v>
      </c>
      <c r="P225" s="21"/>
      <c r="Q225" s="21"/>
      <c r="R225" s="21"/>
      <c r="S225" s="21">
        <v>3</v>
      </c>
      <c r="T225" s="21"/>
      <c r="U225" s="21"/>
      <c r="V225" s="21" t="s">
        <v>861</v>
      </c>
      <c r="W225" s="17">
        <v>0.9</v>
      </c>
      <c r="X225" s="17">
        <v>0.77</v>
      </c>
      <c r="Y225" s="17">
        <v>0.4</v>
      </c>
      <c r="Z225" s="17">
        <v>1</v>
      </c>
      <c r="AA225" s="18" t="b">
        <f>TRUE()</f>
        <v>1</v>
      </c>
      <c r="AB225" s="18" t="s">
        <v>246</v>
      </c>
      <c r="AC225" s="19">
        <v>0</v>
      </c>
      <c r="AD225" s="19">
        <v>0</v>
      </c>
      <c r="AE225" s="19">
        <v>0.81399999999999995</v>
      </c>
      <c r="AF225" s="19">
        <v>0.186</v>
      </c>
      <c r="AG225" s="19">
        <v>0</v>
      </c>
      <c r="AH225" s="19">
        <v>0</v>
      </c>
      <c r="AI225" s="19">
        <v>0</v>
      </c>
      <c r="AJ225" s="19">
        <v>0</v>
      </c>
      <c r="AK225" s="18" t="s">
        <v>342</v>
      </c>
      <c r="AL225">
        <v>0.67</v>
      </c>
      <c r="AM225">
        <v>0.28999999999999998</v>
      </c>
      <c r="AN225">
        <v>0</v>
      </c>
      <c r="AO225">
        <v>0</v>
      </c>
      <c r="AP225">
        <v>0</v>
      </c>
      <c r="AQ225">
        <v>0.17</v>
      </c>
      <c r="AR225">
        <v>0</v>
      </c>
      <c r="BF225" t="s">
        <v>247</v>
      </c>
      <c r="BG225" t="s">
        <v>248</v>
      </c>
      <c r="BH225" t="s">
        <v>249</v>
      </c>
      <c r="BI225" t="s">
        <v>862</v>
      </c>
    </row>
    <row r="226" spans="1:62" ht="30" customHeight="1" x14ac:dyDescent="0.2">
      <c r="A226" s="98" t="s">
        <v>443</v>
      </c>
      <c r="B226" s="21" t="s">
        <v>444</v>
      </c>
      <c r="C226" s="22" t="s">
        <v>445</v>
      </c>
      <c r="D226" s="21" t="s">
        <v>446</v>
      </c>
      <c r="E226" s="21" t="s">
        <v>231</v>
      </c>
      <c r="F226" s="21" t="s">
        <v>447</v>
      </c>
      <c r="G226" s="21" t="s">
        <v>261</v>
      </c>
      <c r="H226" s="21" t="s">
        <v>91</v>
      </c>
      <c r="I226" s="21"/>
      <c r="J226" s="21" t="s">
        <v>359</v>
      </c>
      <c r="K226" s="21" t="s">
        <v>448</v>
      </c>
      <c r="L226" s="21"/>
      <c r="M226" s="23" t="s">
        <v>449</v>
      </c>
      <c r="N226" s="21" t="s">
        <v>192</v>
      </c>
      <c r="O226" s="21" t="s">
        <v>450</v>
      </c>
      <c r="P226" s="21"/>
      <c r="Q226" s="21"/>
      <c r="R226" s="21"/>
      <c r="S226" s="21">
        <v>3</v>
      </c>
      <c r="T226" s="21" t="s">
        <v>451</v>
      </c>
      <c r="U226" s="21"/>
      <c r="V226" s="21" t="s">
        <v>97</v>
      </c>
      <c r="W226" s="17">
        <v>0.55000000000000004</v>
      </c>
      <c r="X226" s="17">
        <v>0.4</v>
      </c>
      <c r="Y226" s="17">
        <v>0.3</v>
      </c>
      <c r="Z226" s="17">
        <v>0.95</v>
      </c>
      <c r="AA226" s="18" t="b">
        <f>TRUE()</f>
        <v>1</v>
      </c>
      <c r="AB226" s="18" t="s">
        <v>246</v>
      </c>
      <c r="AC226" s="19">
        <v>0.51500000000000001</v>
      </c>
      <c r="AD226" s="19">
        <v>0.39400000000000002</v>
      </c>
      <c r="AE226" s="19">
        <v>9.0999999999999998E-2</v>
      </c>
      <c r="AF226" s="19">
        <v>0</v>
      </c>
      <c r="AG226" s="19">
        <v>0</v>
      </c>
      <c r="AH226" s="19">
        <v>0</v>
      </c>
      <c r="AI226" s="19">
        <v>0</v>
      </c>
      <c r="AJ226" s="19">
        <v>0</v>
      </c>
      <c r="AK226" s="18" t="s">
        <v>333</v>
      </c>
      <c r="AL226">
        <v>0.33</v>
      </c>
      <c r="AM226">
        <v>0.14000000000000001</v>
      </c>
      <c r="AN226">
        <v>0.33</v>
      </c>
      <c r="AO226">
        <v>0.83</v>
      </c>
      <c r="AP226">
        <v>0.33</v>
      </c>
      <c r="AQ226">
        <v>0.5</v>
      </c>
      <c r="AR226">
        <v>0.14000000000000001</v>
      </c>
      <c r="BF226" t="s">
        <v>247</v>
      </c>
      <c r="BG226" t="s">
        <v>265</v>
      </c>
      <c r="BH226" t="s">
        <v>249</v>
      </c>
      <c r="BI226" t="s">
        <v>452</v>
      </c>
      <c r="BJ226">
        <v>0.5</v>
      </c>
    </row>
    <row r="227" spans="1:62" ht="69.75" customHeight="1" x14ac:dyDescent="0.2">
      <c r="A227" s="54" t="s">
        <v>471</v>
      </c>
      <c r="B227" s="21" t="s">
        <v>472</v>
      </c>
      <c r="C227" s="22" t="s">
        <v>445</v>
      </c>
      <c r="D227" s="21" t="s">
        <v>473</v>
      </c>
      <c r="E227" s="21" t="s">
        <v>231</v>
      </c>
      <c r="F227" s="21" t="s">
        <v>253</v>
      </c>
      <c r="G227" s="21" t="s">
        <v>403</v>
      </c>
      <c r="H227" s="21" t="s">
        <v>241</v>
      </c>
      <c r="I227" s="21"/>
      <c r="J227" s="21" t="s">
        <v>474</v>
      </c>
      <c r="K227" s="21" t="s">
        <v>330</v>
      </c>
      <c r="L227" s="21"/>
      <c r="M227" s="23" t="s">
        <v>475</v>
      </c>
      <c r="N227" s="21" t="s">
        <v>256</v>
      </c>
      <c r="O227" s="21" t="s">
        <v>112</v>
      </c>
      <c r="P227" s="21"/>
      <c r="Q227" s="21"/>
      <c r="R227" s="21"/>
      <c r="S227" s="21">
        <v>2</v>
      </c>
      <c r="T227" s="21"/>
      <c r="U227" s="21"/>
      <c r="V227" s="14" t="s">
        <v>341</v>
      </c>
      <c r="W227" s="17">
        <v>0.65</v>
      </c>
      <c r="X227" s="17">
        <v>0.4</v>
      </c>
      <c r="Y227" s="17">
        <v>0.1</v>
      </c>
      <c r="Z227" s="17">
        <v>0.75</v>
      </c>
      <c r="AA227" s="18" t="b">
        <f>TRUE()</f>
        <v>1</v>
      </c>
      <c r="AB227" s="18" t="s">
        <v>246</v>
      </c>
      <c r="AC227" s="19">
        <v>8.7999999999999995E-2</v>
      </c>
      <c r="AD227" s="19">
        <v>8.7999999999999995E-2</v>
      </c>
      <c r="AE227" s="19">
        <v>0.26500000000000001</v>
      </c>
      <c r="AF227" s="19">
        <v>8.7999999999999995E-2</v>
      </c>
      <c r="AG227" s="19">
        <v>8.7999999999999995E-2</v>
      </c>
      <c r="AH227" s="19">
        <v>0.20599999999999999</v>
      </c>
      <c r="AI227" s="19">
        <v>8.7999999999999995E-2</v>
      </c>
      <c r="AJ227" s="19">
        <v>8.7999999999999995E-2</v>
      </c>
      <c r="AK227" s="18" t="s">
        <v>342</v>
      </c>
      <c r="BF227" t="s">
        <v>99</v>
      </c>
      <c r="BH227" t="s">
        <v>334</v>
      </c>
      <c r="BI227" t="s">
        <v>476</v>
      </c>
    </row>
    <row r="228" spans="1:62" ht="30" customHeight="1" x14ac:dyDescent="0.2">
      <c r="A228" s="51" t="s">
        <v>477</v>
      </c>
      <c r="B228" s="14" t="s">
        <v>478</v>
      </c>
      <c r="C228" s="15" t="s">
        <v>87</v>
      </c>
      <c r="D228" s="14" t="s">
        <v>479</v>
      </c>
      <c r="E228" s="14" t="s">
        <v>231</v>
      </c>
      <c r="F228" s="14" t="s">
        <v>232</v>
      </c>
      <c r="G228" s="14" t="s">
        <v>403</v>
      </c>
      <c r="H228" s="14" t="s">
        <v>241</v>
      </c>
      <c r="I228" s="14"/>
      <c r="J228" s="14" t="s">
        <v>474</v>
      </c>
      <c r="K228" s="14" t="s">
        <v>233</v>
      </c>
      <c r="L228" s="14"/>
      <c r="M228" s="16" t="s">
        <v>480</v>
      </c>
      <c r="N228" s="14" t="s">
        <v>235</v>
      </c>
      <c r="O228" s="14" t="s">
        <v>226</v>
      </c>
      <c r="P228" s="14"/>
      <c r="Q228" s="14"/>
      <c r="R228" s="14"/>
      <c r="S228" s="14">
        <v>3</v>
      </c>
      <c r="T228" s="14"/>
      <c r="U228" s="14"/>
      <c r="V228" s="21" t="s">
        <v>97</v>
      </c>
      <c r="W228" s="17">
        <v>0.45</v>
      </c>
      <c r="X228" s="17">
        <v>0.35</v>
      </c>
      <c r="Y228" s="17">
        <v>0.55000000000000004</v>
      </c>
      <c r="Z228" s="17">
        <v>0.2</v>
      </c>
      <c r="AA228" s="18" t="b">
        <f>TRUE()</f>
        <v>1</v>
      </c>
      <c r="AB228" s="18" t="s">
        <v>246</v>
      </c>
      <c r="AC228" s="19">
        <v>0</v>
      </c>
      <c r="AD228" s="19">
        <v>0</v>
      </c>
      <c r="AE228" s="19">
        <v>0</v>
      </c>
      <c r="AF228" s="19">
        <v>0</v>
      </c>
      <c r="AG228" s="19">
        <v>0</v>
      </c>
      <c r="AH228" s="19">
        <v>0.57099999999999995</v>
      </c>
      <c r="AI228" s="19">
        <v>0.42899999999999999</v>
      </c>
      <c r="AJ228" s="19">
        <v>0</v>
      </c>
      <c r="AK228" s="18" t="s">
        <v>193</v>
      </c>
      <c r="BF228" t="s">
        <v>99</v>
      </c>
      <c r="BH228" t="s">
        <v>334</v>
      </c>
      <c r="BI228" t="s">
        <v>481</v>
      </c>
    </row>
    <row r="229" spans="1:62" ht="31.5" customHeight="1" x14ac:dyDescent="0.2">
      <c r="A229" s="54" t="s">
        <v>482</v>
      </c>
      <c r="B229" s="21" t="s">
        <v>483</v>
      </c>
      <c r="C229" s="22" t="s">
        <v>187</v>
      </c>
      <c r="D229" s="21" t="s">
        <v>484</v>
      </c>
      <c r="E229" s="21" t="s">
        <v>231</v>
      </c>
      <c r="F229" s="21" t="s">
        <v>232</v>
      </c>
      <c r="G229" s="21" t="s">
        <v>403</v>
      </c>
      <c r="H229" s="21" t="s">
        <v>241</v>
      </c>
      <c r="I229" s="21"/>
      <c r="J229" s="21" t="s">
        <v>485</v>
      </c>
      <c r="K229" s="21" t="s">
        <v>233</v>
      </c>
      <c r="L229" s="21"/>
      <c r="M229" s="23" t="s">
        <v>486</v>
      </c>
      <c r="N229" s="21" t="s">
        <v>235</v>
      </c>
      <c r="O229" s="21" t="s">
        <v>487</v>
      </c>
      <c r="P229" s="21"/>
      <c r="Q229" s="21"/>
      <c r="R229" s="21"/>
      <c r="S229" s="21">
        <v>3</v>
      </c>
      <c r="T229" s="21"/>
      <c r="U229" s="21"/>
      <c r="V229" s="14" t="s">
        <v>341</v>
      </c>
      <c r="W229" s="17">
        <v>0.45</v>
      </c>
      <c r="X229" s="17">
        <v>0.35</v>
      </c>
      <c r="Y229" s="17">
        <v>0.55000000000000004</v>
      </c>
      <c r="Z229" s="17">
        <v>0.2</v>
      </c>
      <c r="AA229" s="18" t="b">
        <f>TRUE()</f>
        <v>1</v>
      </c>
      <c r="AB229" s="18" t="s">
        <v>246</v>
      </c>
      <c r="AC229" s="19">
        <v>0</v>
      </c>
      <c r="AD229" s="19">
        <v>0</v>
      </c>
      <c r="AE229" s="19">
        <v>0</v>
      </c>
      <c r="AF229" s="19">
        <v>0</v>
      </c>
      <c r="AG229" s="19">
        <v>0</v>
      </c>
      <c r="AH229" s="19">
        <v>0.57099999999999995</v>
      </c>
      <c r="AI229" s="19">
        <v>0.42899999999999999</v>
      </c>
      <c r="AJ229" s="19">
        <v>0</v>
      </c>
      <c r="AK229" s="18" t="s">
        <v>193</v>
      </c>
      <c r="BF229" t="s">
        <v>99</v>
      </c>
      <c r="BH229" t="s">
        <v>334</v>
      </c>
      <c r="BI229" t="s">
        <v>488</v>
      </c>
    </row>
    <row r="230" spans="1:62" ht="30" customHeight="1" x14ac:dyDescent="0.2">
      <c r="A230" s="51" t="s">
        <v>489</v>
      </c>
      <c r="B230" s="14" t="s">
        <v>490</v>
      </c>
      <c r="C230" s="15" t="s">
        <v>491</v>
      </c>
      <c r="D230" s="14" t="s">
        <v>492</v>
      </c>
      <c r="E230" s="14" t="s">
        <v>231</v>
      </c>
      <c r="F230" s="14" t="s">
        <v>253</v>
      </c>
      <c r="G230" s="14" t="s">
        <v>403</v>
      </c>
      <c r="H230" s="14" t="s">
        <v>241</v>
      </c>
      <c r="I230" s="14"/>
      <c r="J230" s="14" t="s">
        <v>474</v>
      </c>
      <c r="K230" s="14" t="s">
        <v>330</v>
      </c>
      <c r="L230" s="14"/>
      <c r="M230" s="16" t="s">
        <v>493</v>
      </c>
      <c r="N230" s="14" t="s">
        <v>256</v>
      </c>
      <c r="O230" s="14" t="s">
        <v>487</v>
      </c>
      <c r="P230" s="14"/>
      <c r="Q230" s="14"/>
      <c r="R230" s="14"/>
      <c r="S230" s="14">
        <v>2</v>
      </c>
      <c r="T230" s="14"/>
      <c r="U230" s="14"/>
      <c r="V230" s="21" t="s">
        <v>97</v>
      </c>
      <c r="W230" s="17">
        <v>0.65</v>
      </c>
      <c r="X230" s="17">
        <v>0.4</v>
      </c>
      <c r="Y230" s="17">
        <v>0.1</v>
      </c>
      <c r="Z230" s="17">
        <v>0.75</v>
      </c>
      <c r="AA230" s="18" t="b">
        <f>TRUE()</f>
        <v>1</v>
      </c>
      <c r="AB230" s="18" t="s">
        <v>246</v>
      </c>
      <c r="AC230" s="19">
        <v>8.7999999999999995E-2</v>
      </c>
      <c r="AD230" s="19">
        <v>8.7999999999999995E-2</v>
      </c>
      <c r="AE230" s="19">
        <v>0.26500000000000001</v>
      </c>
      <c r="AF230" s="19">
        <v>8.7999999999999995E-2</v>
      </c>
      <c r="AG230" s="19">
        <v>8.7999999999999995E-2</v>
      </c>
      <c r="AH230" s="19">
        <v>0.20599999999999999</v>
      </c>
      <c r="AI230" s="19">
        <v>8.7999999999999995E-2</v>
      </c>
      <c r="AJ230" s="19">
        <v>8.7999999999999995E-2</v>
      </c>
      <c r="AK230" s="18" t="s">
        <v>342</v>
      </c>
      <c r="BF230" t="s">
        <v>99</v>
      </c>
      <c r="BH230" t="s">
        <v>334</v>
      </c>
      <c r="BI230" t="s">
        <v>481</v>
      </c>
    </row>
    <row r="231" spans="1:62" ht="48" customHeight="1" x14ac:dyDescent="0.2">
      <c r="A231" s="54" t="s">
        <v>535</v>
      </c>
      <c r="B231" s="21" t="s">
        <v>530</v>
      </c>
      <c r="C231" s="22" t="s">
        <v>491</v>
      </c>
      <c r="D231" s="21" t="s">
        <v>536</v>
      </c>
      <c r="E231" s="21" t="s">
        <v>524</v>
      </c>
      <c r="F231" s="21" t="s">
        <v>197</v>
      </c>
      <c r="G231" s="21" t="s">
        <v>403</v>
      </c>
      <c r="H231" s="21" t="s">
        <v>241</v>
      </c>
      <c r="I231" s="21"/>
      <c r="J231" s="21" t="s">
        <v>537</v>
      </c>
      <c r="K231" s="21" t="s">
        <v>204</v>
      </c>
      <c r="L231" s="21"/>
      <c r="M231" s="23" t="s">
        <v>538</v>
      </c>
      <c r="N231" s="21" t="s">
        <v>199</v>
      </c>
      <c r="O231" s="21" t="s">
        <v>112</v>
      </c>
      <c r="P231" s="21"/>
      <c r="Q231" s="21"/>
      <c r="R231" s="21"/>
      <c r="S231" s="21">
        <v>4</v>
      </c>
      <c r="T231" s="21" t="s">
        <v>539</v>
      </c>
      <c r="U231" s="21"/>
      <c r="V231" s="21" t="s">
        <v>97</v>
      </c>
      <c r="W231" s="17">
        <v>0.72</v>
      </c>
      <c r="X231" s="17">
        <v>0.55000000000000004</v>
      </c>
      <c r="Y231" s="17">
        <v>0.32</v>
      </c>
      <c r="Z231" s="17">
        <v>0.78</v>
      </c>
      <c r="AA231" s="18" t="b">
        <f>TRUE()</f>
        <v>1</v>
      </c>
      <c r="AB231" s="18" t="s">
        <v>246</v>
      </c>
      <c r="AC231" s="19">
        <v>0</v>
      </c>
      <c r="AD231" s="19">
        <v>0</v>
      </c>
      <c r="AE231" s="19">
        <v>0.125</v>
      </c>
      <c r="AF231" s="19">
        <v>0</v>
      </c>
      <c r="AG231" s="19">
        <v>0.125</v>
      </c>
      <c r="AH231" s="19">
        <v>0.75</v>
      </c>
      <c r="AI231" s="19">
        <v>0</v>
      </c>
      <c r="AJ231" s="19">
        <v>0</v>
      </c>
      <c r="AK231" s="18" t="s">
        <v>193</v>
      </c>
      <c r="AL231">
        <v>0.5</v>
      </c>
      <c r="AM231">
        <v>0.28999999999999998</v>
      </c>
      <c r="AN231">
        <v>0</v>
      </c>
      <c r="AO231">
        <v>0</v>
      </c>
      <c r="AP231">
        <v>0</v>
      </c>
      <c r="AQ231">
        <v>0.33</v>
      </c>
      <c r="AR231">
        <v>0.14000000000000001</v>
      </c>
      <c r="BF231" t="s">
        <v>247</v>
      </c>
      <c r="BG231" t="s">
        <v>265</v>
      </c>
      <c r="BH231" t="s">
        <v>249</v>
      </c>
      <c r="BI231" t="s">
        <v>540</v>
      </c>
    </row>
    <row r="232" spans="1:62" ht="30" customHeight="1" x14ac:dyDescent="0.2">
      <c r="A232" s="100" t="s">
        <v>400</v>
      </c>
      <c r="B232" s="14" t="s">
        <v>401</v>
      </c>
      <c r="C232" s="15" t="s">
        <v>162</v>
      </c>
      <c r="D232" s="14" t="s">
        <v>402</v>
      </c>
      <c r="E232" s="14" t="s">
        <v>231</v>
      </c>
      <c r="F232" s="14" t="s">
        <v>358</v>
      </c>
      <c r="G232" s="14" t="s">
        <v>403</v>
      </c>
      <c r="H232" s="14" t="s">
        <v>241</v>
      </c>
      <c r="I232" s="14"/>
      <c r="J232" s="14" t="s">
        <v>368</v>
      </c>
      <c r="K232" s="14" t="s">
        <v>360</v>
      </c>
      <c r="L232" s="14"/>
      <c r="M232" s="16" t="s">
        <v>404</v>
      </c>
      <c r="N232" s="14" t="s">
        <v>192</v>
      </c>
      <c r="O232" s="14" t="s">
        <v>370</v>
      </c>
      <c r="P232" s="14"/>
      <c r="Q232" s="14"/>
      <c r="R232" s="14"/>
      <c r="S232" s="14">
        <v>3</v>
      </c>
      <c r="T232" s="14"/>
      <c r="U232" s="14"/>
      <c r="V232" s="21" t="s">
        <v>97</v>
      </c>
      <c r="W232" s="17">
        <v>0.55000000000000004</v>
      </c>
      <c r="X232" s="17">
        <v>0.42</v>
      </c>
      <c r="Y232" s="17">
        <v>0.35</v>
      </c>
      <c r="Z232" s="17">
        <v>1</v>
      </c>
      <c r="AA232" s="18" t="b">
        <f>TRUE()</f>
        <v>1</v>
      </c>
      <c r="AB232" s="18" t="s">
        <v>246</v>
      </c>
      <c r="AC232" s="19">
        <v>0.71799999999999997</v>
      </c>
      <c r="AD232" s="19">
        <v>0.20499999999999999</v>
      </c>
      <c r="AE232" s="19">
        <v>0</v>
      </c>
      <c r="AF232" s="19">
        <v>7.6999999999999999E-2</v>
      </c>
      <c r="AG232" s="19">
        <v>0</v>
      </c>
      <c r="AH232" s="19">
        <v>0</v>
      </c>
      <c r="AI232" s="19">
        <v>0</v>
      </c>
      <c r="AJ232" s="19">
        <v>0</v>
      </c>
      <c r="AK232" s="18" t="s">
        <v>333</v>
      </c>
      <c r="AL232">
        <v>0</v>
      </c>
      <c r="AM232">
        <v>1</v>
      </c>
      <c r="AN232">
        <v>0</v>
      </c>
      <c r="AO232">
        <v>0</v>
      </c>
      <c r="AP232">
        <v>0</v>
      </c>
      <c r="AQ232">
        <v>0</v>
      </c>
      <c r="AR232">
        <v>0</v>
      </c>
      <c r="BF232" t="s">
        <v>247</v>
      </c>
      <c r="BG232" t="s">
        <v>248</v>
      </c>
      <c r="BH232" t="s">
        <v>249</v>
      </c>
      <c r="BI232" t="s">
        <v>405</v>
      </c>
    </row>
    <row r="233" spans="1:62" ht="30" customHeight="1" x14ac:dyDescent="0.2">
      <c r="A233" s="2" t="s">
        <v>1477</v>
      </c>
      <c r="B233" s="21" t="s">
        <v>1478</v>
      </c>
      <c r="C233" s="22">
        <v>2020</v>
      </c>
      <c r="D233" s="21" t="s">
        <v>1479</v>
      </c>
      <c r="E233" s="21" t="s">
        <v>524</v>
      </c>
      <c r="F233" s="21" t="s">
        <v>588</v>
      </c>
      <c r="G233" s="21" t="s">
        <v>131</v>
      </c>
      <c r="H233" s="21" t="s">
        <v>108</v>
      </c>
      <c r="I233" s="21"/>
      <c r="J233" s="21" t="s">
        <v>132</v>
      </c>
      <c r="K233" s="21" t="s">
        <v>204</v>
      </c>
      <c r="L233" s="21"/>
      <c r="M233" s="23" t="s">
        <v>1480</v>
      </c>
      <c r="N233" s="21" t="s">
        <v>199</v>
      </c>
      <c r="O233" s="21" t="s">
        <v>609</v>
      </c>
      <c r="P233" s="21"/>
      <c r="Q233" s="21"/>
      <c r="R233" s="21"/>
      <c r="S233" s="21">
        <v>3</v>
      </c>
      <c r="T233" s="21" t="s">
        <v>1481</v>
      </c>
      <c r="U233" s="21"/>
      <c r="V233" s="21" t="s">
        <v>1025</v>
      </c>
      <c r="W233" s="17">
        <v>0.81</v>
      </c>
      <c r="X233" s="17">
        <v>0.67</v>
      </c>
      <c r="Y233" s="17">
        <v>0.42</v>
      </c>
      <c r="Z233" s="17">
        <v>0.83</v>
      </c>
      <c r="AA233" s="18" t="b">
        <f>FALSE()</f>
        <v>0</v>
      </c>
      <c r="AB233" s="18" t="s">
        <v>98</v>
      </c>
      <c r="AC233" s="19">
        <v>0</v>
      </c>
      <c r="AD233" s="19">
        <v>0</v>
      </c>
      <c r="AE233" s="19">
        <v>0.214</v>
      </c>
      <c r="AF233" s="19">
        <v>4.8000000000000001E-2</v>
      </c>
      <c r="AG233" s="19">
        <v>0.214</v>
      </c>
      <c r="AH233" s="19">
        <v>0.52400000000000002</v>
      </c>
      <c r="AI233" s="19">
        <v>0</v>
      </c>
      <c r="AJ233" s="19">
        <v>0</v>
      </c>
      <c r="AK233" s="18" t="s">
        <v>193</v>
      </c>
      <c r="BF233" t="s">
        <v>99</v>
      </c>
      <c r="BH233" t="s">
        <v>100</v>
      </c>
      <c r="BI233" t="s">
        <v>101</v>
      </c>
    </row>
    <row r="234" spans="1:62" ht="30" customHeight="1" x14ac:dyDescent="0.2">
      <c r="A234" s="20" t="s">
        <v>1482</v>
      </c>
      <c r="B234" s="21" t="s">
        <v>1483</v>
      </c>
      <c r="C234" s="22">
        <v>2024</v>
      </c>
      <c r="D234" s="21" t="s">
        <v>1484</v>
      </c>
      <c r="E234" s="21" t="s">
        <v>524</v>
      </c>
      <c r="F234" s="21" t="s">
        <v>588</v>
      </c>
      <c r="G234" s="21" t="s">
        <v>131</v>
      </c>
      <c r="H234" s="21" t="s">
        <v>108</v>
      </c>
      <c r="I234" s="21"/>
      <c r="J234" s="21" t="s">
        <v>132</v>
      </c>
      <c r="K234" s="21" t="s">
        <v>204</v>
      </c>
      <c r="L234" s="21"/>
      <c r="M234" s="23" t="s">
        <v>1485</v>
      </c>
      <c r="N234" s="21" t="s">
        <v>199</v>
      </c>
      <c r="O234" s="21" t="s">
        <v>739</v>
      </c>
      <c r="P234" s="21"/>
      <c r="Q234" s="21" t="s">
        <v>2121</v>
      </c>
      <c r="R234" s="21"/>
      <c r="S234" s="21">
        <v>2</v>
      </c>
      <c r="T234" s="21" t="s">
        <v>1486</v>
      </c>
      <c r="U234" s="21"/>
      <c r="V234" s="21" t="s">
        <v>1025</v>
      </c>
      <c r="W234" s="17">
        <v>0.81</v>
      </c>
      <c r="X234" s="17">
        <v>0.67</v>
      </c>
      <c r="Y234" s="17">
        <v>0.42</v>
      </c>
      <c r="Z234" s="17">
        <v>0.83</v>
      </c>
      <c r="AA234" s="18" t="b">
        <f>FALSE()</f>
        <v>0</v>
      </c>
      <c r="AB234" s="18" t="s">
        <v>98</v>
      </c>
      <c r="AC234" s="19">
        <v>0</v>
      </c>
      <c r="AD234" s="19">
        <v>0</v>
      </c>
      <c r="AE234" s="19">
        <v>0.214</v>
      </c>
      <c r="AF234" s="19">
        <v>4.8000000000000001E-2</v>
      </c>
      <c r="AG234" s="19">
        <v>0.214</v>
      </c>
      <c r="AH234" s="19">
        <v>0.52400000000000002</v>
      </c>
      <c r="AI234" s="19">
        <v>0</v>
      </c>
      <c r="AJ234" s="19">
        <v>0</v>
      </c>
      <c r="AK234" s="18" t="s">
        <v>193</v>
      </c>
      <c r="BF234" t="s">
        <v>99</v>
      </c>
      <c r="BH234" t="s">
        <v>100</v>
      </c>
      <c r="BI234" t="s">
        <v>101</v>
      </c>
    </row>
    <row r="235" spans="1:62" ht="15.75" customHeight="1" x14ac:dyDescent="0.2">
      <c r="A235" s="2"/>
      <c r="B235" s="43" t="s">
        <v>1487</v>
      </c>
      <c r="C235" s="2">
        <v>1975</v>
      </c>
      <c r="D235" s="2"/>
      <c r="E235" s="2"/>
      <c r="F235" s="2"/>
      <c r="G235" s="2"/>
      <c r="H235" s="2"/>
      <c r="I235" s="2"/>
      <c r="J235" s="2"/>
      <c r="K235" s="2"/>
      <c r="L235" s="2"/>
      <c r="M235" s="2" t="s">
        <v>1488</v>
      </c>
      <c r="N235" s="14" t="s">
        <v>256</v>
      </c>
      <c r="O235" s="2"/>
      <c r="P235" s="2"/>
      <c r="Q235" s="2"/>
      <c r="R235" s="2"/>
      <c r="S235" s="2"/>
      <c r="T235" s="2" t="s">
        <v>1488</v>
      </c>
      <c r="U235" s="2"/>
      <c r="V235" s="2"/>
      <c r="BF235" t="s">
        <v>99</v>
      </c>
      <c r="BH235" t="s">
        <v>334</v>
      </c>
      <c r="BI235" t="s">
        <v>1489</v>
      </c>
    </row>
    <row r="236" spans="1:62" ht="15.75" customHeight="1" x14ac:dyDescent="0.2">
      <c r="A236" s="2"/>
      <c r="B236" s="47" t="s">
        <v>1490</v>
      </c>
      <c r="C236" s="2">
        <v>1978</v>
      </c>
      <c r="D236" s="2"/>
      <c r="E236" s="2"/>
      <c r="F236" s="2"/>
      <c r="G236" s="2"/>
      <c r="H236" s="2"/>
      <c r="I236" s="2"/>
      <c r="J236" s="2"/>
      <c r="K236" s="2"/>
      <c r="L236" s="2"/>
      <c r="M236" s="2" t="s">
        <v>1488</v>
      </c>
      <c r="N236" s="14" t="s">
        <v>256</v>
      </c>
      <c r="O236" s="2"/>
      <c r="P236" s="2"/>
      <c r="Q236" s="2"/>
      <c r="R236" s="2"/>
      <c r="S236" s="2"/>
      <c r="T236" s="2" t="s">
        <v>1488</v>
      </c>
      <c r="U236" s="2"/>
      <c r="V236" s="2"/>
      <c r="BF236" t="s">
        <v>99</v>
      </c>
      <c r="BH236" t="s">
        <v>334</v>
      </c>
      <c r="BI236" t="s">
        <v>1489</v>
      </c>
    </row>
    <row r="237" spans="1:62" ht="15.75" customHeight="1" x14ac:dyDescent="0.2">
      <c r="A237" s="54" t="s">
        <v>546</v>
      </c>
      <c r="B237" s="47" t="s">
        <v>547</v>
      </c>
      <c r="C237" s="104" t="s">
        <v>548</v>
      </c>
      <c r="D237" s="102" t="s">
        <v>549</v>
      </c>
      <c r="E237" s="102" t="s">
        <v>524</v>
      </c>
      <c r="F237" s="102" t="s">
        <v>197</v>
      </c>
      <c r="G237" s="102" t="s">
        <v>261</v>
      </c>
      <c r="H237" s="102" t="s">
        <v>91</v>
      </c>
      <c r="I237" s="102"/>
      <c r="J237" s="102" t="s">
        <v>269</v>
      </c>
      <c r="K237" s="102" t="s">
        <v>204</v>
      </c>
      <c r="L237" s="102"/>
      <c r="M237" s="109" t="s">
        <v>550</v>
      </c>
      <c r="N237" s="21" t="s">
        <v>199</v>
      </c>
      <c r="O237" s="102" t="s">
        <v>377</v>
      </c>
      <c r="P237" s="102"/>
      <c r="Q237" s="102"/>
      <c r="R237" s="102"/>
      <c r="S237" s="102">
        <v>4</v>
      </c>
      <c r="T237" s="102" t="s">
        <v>551</v>
      </c>
      <c r="U237" s="102"/>
      <c r="V237" s="102" t="s">
        <v>97</v>
      </c>
      <c r="W237" s="17">
        <v>0.67</v>
      </c>
      <c r="X237" s="17">
        <v>0.55000000000000004</v>
      </c>
      <c r="Y237" s="17">
        <v>0.32</v>
      </c>
      <c r="Z237" s="17">
        <v>0.73</v>
      </c>
      <c r="AA237" s="18" t="b">
        <f>TRUE()</f>
        <v>1</v>
      </c>
      <c r="AB237" s="18" t="s">
        <v>246</v>
      </c>
      <c r="AC237" s="19">
        <v>0</v>
      </c>
      <c r="AD237" s="19">
        <v>0</v>
      </c>
      <c r="AE237" s="19">
        <v>0.125</v>
      </c>
      <c r="AF237" s="19">
        <v>0</v>
      </c>
      <c r="AG237" s="19">
        <v>0.125</v>
      </c>
      <c r="AH237" s="19">
        <v>0.75</v>
      </c>
      <c r="AI237" s="19">
        <v>0</v>
      </c>
      <c r="AJ237" s="19">
        <v>0</v>
      </c>
      <c r="AK237" s="18" t="s">
        <v>193</v>
      </c>
      <c r="AL237">
        <v>0.33</v>
      </c>
      <c r="AM237">
        <v>0.14000000000000001</v>
      </c>
      <c r="AN237">
        <v>0</v>
      </c>
      <c r="AO237">
        <v>0</v>
      </c>
      <c r="AP237">
        <v>0</v>
      </c>
      <c r="AQ237">
        <v>0.67</v>
      </c>
      <c r="AR237">
        <v>0.43</v>
      </c>
      <c r="BF237" t="s">
        <v>247</v>
      </c>
      <c r="BG237" t="s">
        <v>265</v>
      </c>
      <c r="BH237" t="s">
        <v>249</v>
      </c>
      <c r="BI237" t="s">
        <v>552</v>
      </c>
    </row>
    <row r="238" spans="1:62" ht="30" customHeight="1" x14ac:dyDescent="0.2">
      <c r="A238" s="51" t="s">
        <v>1496</v>
      </c>
      <c r="B238" s="14" t="s">
        <v>1497</v>
      </c>
      <c r="C238" s="24">
        <v>2022</v>
      </c>
      <c r="D238" s="14" t="s">
        <v>1498</v>
      </c>
      <c r="E238" s="14" t="s">
        <v>788</v>
      </c>
      <c r="F238" s="14" t="s">
        <v>789</v>
      </c>
      <c r="G238" s="14" t="s">
        <v>107</v>
      </c>
      <c r="H238" s="14" t="s">
        <v>108</v>
      </c>
      <c r="I238" s="14"/>
      <c r="J238" s="14" t="s">
        <v>682</v>
      </c>
      <c r="K238" s="14" t="s">
        <v>295</v>
      </c>
      <c r="L238" s="14"/>
      <c r="M238" s="16" t="s">
        <v>1499</v>
      </c>
      <c r="N238" s="14" t="s">
        <v>297</v>
      </c>
      <c r="O238" s="14" t="s">
        <v>1500</v>
      </c>
      <c r="P238" s="14"/>
      <c r="Q238" s="14" t="s">
        <v>868</v>
      </c>
      <c r="R238" s="14"/>
      <c r="S238" s="14">
        <v>4</v>
      </c>
      <c r="T238" s="14" t="s">
        <v>1501</v>
      </c>
      <c r="U238" s="14"/>
      <c r="V238" s="14" t="s">
        <v>97</v>
      </c>
      <c r="W238" s="17">
        <v>0.2</v>
      </c>
      <c r="X238" s="17">
        <v>0.15</v>
      </c>
      <c r="Y238" s="17">
        <v>0.65</v>
      </c>
      <c r="Z238" s="17">
        <v>0.05</v>
      </c>
      <c r="AA238" s="18" t="b">
        <f>FALSE()</f>
        <v>0</v>
      </c>
      <c r="AB238" s="18" t="s">
        <v>98</v>
      </c>
      <c r="AC238" s="19">
        <v>0.214</v>
      </c>
      <c r="AD238" s="19">
        <v>0</v>
      </c>
      <c r="AE238" s="19">
        <v>0</v>
      </c>
      <c r="AF238" s="19">
        <v>9.5000000000000001E-2</v>
      </c>
      <c r="AG238" s="19">
        <v>0</v>
      </c>
      <c r="AH238" s="19">
        <v>0</v>
      </c>
      <c r="AI238" s="19">
        <v>0.64300000000000002</v>
      </c>
      <c r="AJ238" s="19">
        <v>4.8000000000000001E-2</v>
      </c>
      <c r="AK238" s="18" t="s">
        <v>299</v>
      </c>
      <c r="BF238" t="s">
        <v>99</v>
      </c>
      <c r="BH238" t="s">
        <v>100</v>
      </c>
      <c r="BI238" t="s">
        <v>101</v>
      </c>
    </row>
    <row r="239" spans="1:62" ht="15.75" customHeight="1" x14ac:dyDescent="0.2">
      <c r="A239" s="54" t="s">
        <v>670</v>
      </c>
      <c r="B239" s="47" t="s">
        <v>671</v>
      </c>
      <c r="C239" s="92" t="s">
        <v>104</v>
      </c>
      <c r="D239" s="47" t="s">
        <v>672</v>
      </c>
      <c r="E239" s="47" t="s">
        <v>524</v>
      </c>
      <c r="F239" s="47" t="s">
        <v>631</v>
      </c>
      <c r="G239" s="47" t="s">
        <v>261</v>
      </c>
      <c r="H239" s="47" t="s">
        <v>91</v>
      </c>
      <c r="I239" s="47"/>
      <c r="J239" s="47" t="s">
        <v>589</v>
      </c>
      <c r="K239" s="47" t="s">
        <v>204</v>
      </c>
      <c r="L239" s="102"/>
      <c r="M239" s="109" t="s">
        <v>673</v>
      </c>
      <c r="N239" s="47" t="s">
        <v>199</v>
      </c>
      <c r="O239" s="47" t="s">
        <v>487</v>
      </c>
      <c r="P239" s="35"/>
      <c r="Q239" s="21"/>
      <c r="R239" s="47"/>
      <c r="S239" s="47">
        <v>3</v>
      </c>
      <c r="T239" s="47" t="s">
        <v>664</v>
      </c>
      <c r="U239" s="47"/>
      <c r="V239" s="47" t="s">
        <v>97</v>
      </c>
      <c r="W239" s="17">
        <v>0.71</v>
      </c>
      <c r="X239" s="17">
        <v>0.61</v>
      </c>
      <c r="Y239" s="17">
        <v>0.15</v>
      </c>
      <c r="Z239" s="17">
        <v>0.87</v>
      </c>
      <c r="AA239" s="18" t="b">
        <f>TRUE()</f>
        <v>1</v>
      </c>
      <c r="AB239" s="18" t="s">
        <v>246</v>
      </c>
      <c r="AC239" s="19">
        <v>0</v>
      </c>
      <c r="AD239" s="19">
        <v>0</v>
      </c>
      <c r="AE239" s="19">
        <v>0.34200000000000003</v>
      </c>
      <c r="AF239" s="19">
        <v>5.2999999999999999E-2</v>
      </c>
      <c r="AG239" s="19">
        <v>7.9000000000000001E-2</v>
      </c>
      <c r="AH239" s="19">
        <v>0.47399999999999998</v>
      </c>
      <c r="AI239" s="19">
        <v>0</v>
      </c>
      <c r="AJ239" s="19">
        <v>5.2999999999999999E-2</v>
      </c>
      <c r="AK239" s="18" t="s">
        <v>193</v>
      </c>
      <c r="AL239">
        <v>0.67</v>
      </c>
      <c r="AM239">
        <v>0.28999999999999998</v>
      </c>
      <c r="AN239">
        <v>0</v>
      </c>
      <c r="AO239">
        <v>0</v>
      </c>
      <c r="AP239">
        <v>0</v>
      </c>
      <c r="AQ239">
        <v>0.67</v>
      </c>
      <c r="AR239">
        <v>0.14000000000000001</v>
      </c>
      <c r="BF239" t="s">
        <v>247</v>
      </c>
      <c r="BG239" t="s">
        <v>265</v>
      </c>
      <c r="BH239" t="s">
        <v>249</v>
      </c>
      <c r="BI239" t="s">
        <v>674</v>
      </c>
    </row>
    <row r="240" spans="1:62" ht="30" customHeight="1" x14ac:dyDescent="0.2">
      <c r="A240" s="2" t="s">
        <v>1510</v>
      </c>
      <c r="B240" s="21" t="s">
        <v>1511</v>
      </c>
      <c r="C240" s="22">
        <v>2015</v>
      </c>
      <c r="D240" s="21" t="s">
        <v>1512</v>
      </c>
      <c r="E240" s="21" t="s">
        <v>89</v>
      </c>
      <c r="F240" s="21" t="s">
        <v>106</v>
      </c>
      <c r="G240" s="21" t="s">
        <v>224</v>
      </c>
      <c r="H240" s="21" t="s">
        <v>108</v>
      </c>
      <c r="I240" s="21"/>
      <c r="J240" s="21" t="s">
        <v>1047</v>
      </c>
      <c r="K240" s="21" t="s">
        <v>93</v>
      </c>
      <c r="L240" s="21"/>
      <c r="M240" s="23" t="s">
        <v>1513</v>
      </c>
      <c r="N240" s="21" t="s">
        <v>297</v>
      </c>
      <c r="O240" s="21" t="s">
        <v>1514</v>
      </c>
      <c r="P240" s="21" t="s">
        <v>1050</v>
      </c>
      <c r="Q240" s="21" t="s">
        <v>822</v>
      </c>
      <c r="R240" s="21"/>
      <c r="S240" s="21">
        <v>4</v>
      </c>
      <c r="T240" s="21" t="s">
        <v>1515</v>
      </c>
      <c r="U240" s="21"/>
      <c r="V240" s="21" t="s">
        <v>902</v>
      </c>
      <c r="W240" s="17">
        <v>0.3</v>
      </c>
      <c r="X240" s="17">
        <v>0.45</v>
      </c>
      <c r="Y240" s="17">
        <v>0.7</v>
      </c>
      <c r="Z240" s="17">
        <v>0.55000000000000004</v>
      </c>
      <c r="AA240" s="18" t="b">
        <f>FALSE()</f>
        <v>0</v>
      </c>
      <c r="AB240" s="18" t="s">
        <v>126</v>
      </c>
      <c r="AC240" s="19">
        <v>0.312</v>
      </c>
      <c r="AD240" s="19">
        <v>0.625</v>
      </c>
      <c r="AE240" s="19">
        <v>0</v>
      </c>
      <c r="AF240" s="19">
        <v>6.2E-2</v>
      </c>
      <c r="AG240" s="19">
        <v>0</v>
      </c>
      <c r="AH240" s="19">
        <v>0</v>
      </c>
      <c r="AI240" s="19">
        <v>0</v>
      </c>
      <c r="AJ240" s="19">
        <v>0</v>
      </c>
      <c r="AK240" s="18" t="s">
        <v>89</v>
      </c>
      <c r="BF240" t="s">
        <v>99</v>
      </c>
      <c r="BH240" t="s">
        <v>100</v>
      </c>
      <c r="BI240" t="s">
        <v>101</v>
      </c>
    </row>
    <row r="241" spans="1:62" ht="30" customHeight="1" x14ac:dyDescent="0.2">
      <c r="A241" s="98" t="s">
        <v>429</v>
      </c>
      <c r="B241" s="102" t="s">
        <v>430</v>
      </c>
      <c r="C241" s="104" t="s">
        <v>431</v>
      </c>
      <c r="D241" s="102" t="s">
        <v>432</v>
      </c>
      <c r="E241" s="47" t="s">
        <v>231</v>
      </c>
      <c r="F241" s="102" t="s">
        <v>358</v>
      </c>
      <c r="G241" s="102" t="s">
        <v>293</v>
      </c>
      <c r="H241" s="102" t="s">
        <v>91</v>
      </c>
      <c r="I241" s="102"/>
      <c r="J241" s="102" t="s">
        <v>433</v>
      </c>
      <c r="K241" s="102" t="s">
        <v>360</v>
      </c>
      <c r="L241" s="102"/>
      <c r="M241" s="23" t="s">
        <v>434</v>
      </c>
      <c r="N241" s="102" t="s">
        <v>192</v>
      </c>
      <c r="O241" s="102" t="s">
        <v>435</v>
      </c>
      <c r="P241" s="102"/>
      <c r="Q241" s="102"/>
      <c r="R241" s="102"/>
      <c r="S241" s="102">
        <v>3</v>
      </c>
      <c r="T241" s="102"/>
      <c r="U241" s="102"/>
      <c r="V241" s="102" t="s">
        <v>97</v>
      </c>
      <c r="W241" s="17">
        <v>0.45</v>
      </c>
      <c r="X241" s="17">
        <v>0.37</v>
      </c>
      <c r="Y241" s="17">
        <v>0.4</v>
      </c>
      <c r="Z241" s="17">
        <v>0.95</v>
      </c>
      <c r="AA241" s="18" t="b">
        <f>TRUE()</f>
        <v>1</v>
      </c>
      <c r="AB241" s="18" t="s">
        <v>246</v>
      </c>
      <c r="AC241" s="19">
        <v>0.71799999999999997</v>
      </c>
      <c r="AD241" s="19">
        <v>0.20499999999999999</v>
      </c>
      <c r="AE241" s="19">
        <v>0</v>
      </c>
      <c r="AF241" s="19">
        <v>7.6999999999999999E-2</v>
      </c>
      <c r="AG241" s="19">
        <v>0</v>
      </c>
      <c r="AH241" s="19">
        <v>0</v>
      </c>
      <c r="AI241" s="19">
        <v>0</v>
      </c>
      <c r="AJ241" s="19">
        <v>0</v>
      </c>
      <c r="AK241" s="18" t="s">
        <v>333</v>
      </c>
      <c r="AL241">
        <v>0.33</v>
      </c>
      <c r="AM241">
        <v>0.14000000000000001</v>
      </c>
      <c r="AN241">
        <v>0.33</v>
      </c>
      <c r="AO241">
        <v>0.17</v>
      </c>
      <c r="AP241">
        <v>0.33</v>
      </c>
      <c r="AQ241">
        <v>0.17</v>
      </c>
      <c r="AR241">
        <v>0.14000000000000001</v>
      </c>
      <c r="BF241" t="s">
        <v>247</v>
      </c>
      <c r="BG241" t="s">
        <v>265</v>
      </c>
      <c r="BH241" t="s">
        <v>249</v>
      </c>
      <c r="BI241" t="s">
        <v>436</v>
      </c>
      <c r="BJ241">
        <v>0.5</v>
      </c>
    </row>
    <row r="242" spans="1:62" ht="15.75" customHeight="1" x14ac:dyDescent="0.2">
      <c r="A242" s="46" t="s">
        <v>1521</v>
      </c>
      <c r="B242" s="47" t="s">
        <v>1522</v>
      </c>
      <c r="C242" s="38">
        <v>2023</v>
      </c>
      <c r="D242" s="47" t="s">
        <v>1523</v>
      </c>
      <c r="E242" s="21" t="s">
        <v>788</v>
      </c>
      <c r="F242" s="21" t="s">
        <v>789</v>
      </c>
      <c r="G242" s="21" t="s">
        <v>131</v>
      </c>
      <c r="H242" s="35" t="s">
        <v>108</v>
      </c>
      <c r="I242" s="35"/>
      <c r="J242" s="21" t="s">
        <v>132</v>
      </c>
      <c r="K242" s="35" t="s">
        <v>295</v>
      </c>
      <c r="L242" s="35"/>
      <c r="M242" s="49" t="s">
        <v>1524</v>
      </c>
      <c r="N242" s="21" t="s">
        <v>297</v>
      </c>
      <c r="O242" s="35" t="s">
        <v>556</v>
      </c>
      <c r="P242" s="35"/>
      <c r="Q242" s="35" t="s">
        <v>159</v>
      </c>
      <c r="R242" s="35"/>
      <c r="S242" s="47">
        <v>4</v>
      </c>
      <c r="T242" s="21"/>
      <c r="U242" s="35"/>
      <c r="V242" s="28" t="s">
        <v>97</v>
      </c>
      <c r="W242" s="17">
        <v>0.2</v>
      </c>
      <c r="X242" s="17">
        <v>0.15</v>
      </c>
      <c r="Y242" s="17">
        <v>0.65</v>
      </c>
      <c r="Z242" s="17">
        <v>0.05</v>
      </c>
      <c r="AA242" s="18" t="b">
        <f>FALSE()</f>
        <v>0</v>
      </c>
      <c r="AB242" s="18" t="s">
        <v>98</v>
      </c>
      <c r="AC242" s="19">
        <v>0.214</v>
      </c>
      <c r="AD242" s="19">
        <v>0</v>
      </c>
      <c r="AE242" s="19">
        <v>0</v>
      </c>
      <c r="AF242" s="19">
        <v>9.5000000000000001E-2</v>
      </c>
      <c r="AG242" s="19">
        <v>0</v>
      </c>
      <c r="AH242" s="19">
        <v>0</v>
      </c>
      <c r="AI242" s="19">
        <v>0.64300000000000002</v>
      </c>
      <c r="AJ242" s="19">
        <v>4.8000000000000001E-2</v>
      </c>
      <c r="AK242" s="18" t="s">
        <v>299</v>
      </c>
      <c r="BF242" t="s">
        <v>99</v>
      </c>
      <c r="BH242" t="s">
        <v>100</v>
      </c>
      <c r="BI242" t="s">
        <v>101</v>
      </c>
    </row>
    <row r="243" spans="1:62" ht="15.75" customHeight="1" x14ac:dyDescent="0.2">
      <c r="A243" s="46" t="s">
        <v>1525</v>
      </c>
      <c r="B243" s="47" t="s">
        <v>1522</v>
      </c>
      <c r="C243" s="38">
        <v>2023</v>
      </c>
      <c r="D243" s="47" t="s">
        <v>1526</v>
      </c>
      <c r="E243" s="21" t="s">
        <v>788</v>
      </c>
      <c r="F243" s="21" t="s">
        <v>789</v>
      </c>
      <c r="G243" s="21" t="s">
        <v>131</v>
      </c>
      <c r="H243" s="35" t="s">
        <v>108</v>
      </c>
      <c r="I243" s="35"/>
      <c r="J243" s="35" t="s">
        <v>132</v>
      </c>
      <c r="K243" s="35" t="s">
        <v>295</v>
      </c>
      <c r="L243" s="35"/>
      <c r="M243" s="49" t="s">
        <v>1527</v>
      </c>
      <c r="N243" s="21" t="s">
        <v>297</v>
      </c>
      <c r="O243" s="35" t="s">
        <v>1081</v>
      </c>
      <c r="P243" s="35"/>
      <c r="Q243" s="35"/>
      <c r="R243" s="35"/>
      <c r="S243" s="47">
        <v>3</v>
      </c>
      <c r="T243" s="21"/>
      <c r="U243" s="35"/>
      <c r="V243" s="28" t="s">
        <v>97</v>
      </c>
      <c r="W243" s="17">
        <v>0.2</v>
      </c>
      <c r="X243" s="17">
        <v>0.15</v>
      </c>
      <c r="Y243" s="17">
        <v>0.65</v>
      </c>
      <c r="Z243" s="17">
        <v>0.05</v>
      </c>
      <c r="AA243" s="18" t="b">
        <f>FALSE()</f>
        <v>0</v>
      </c>
      <c r="AB243" s="18" t="s">
        <v>98</v>
      </c>
      <c r="AC243" s="19">
        <v>0.214</v>
      </c>
      <c r="AD243" s="19">
        <v>0</v>
      </c>
      <c r="AE243" s="19">
        <v>0</v>
      </c>
      <c r="AF243" s="19">
        <v>9.5000000000000001E-2</v>
      </c>
      <c r="AG243" s="19">
        <v>0</v>
      </c>
      <c r="AH243" s="19">
        <v>0</v>
      </c>
      <c r="AI243" s="19">
        <v>0.64300000000000002</v>
      </c>
      <c r="AJ243" s="19">
        <v>4.8000000000000001E-2</v>
      </c>
      <c r="AK243" s="18" t="s">
        <v>299</v>
      </c>
      <c r="BF243" t="s">
        <v>99</v>
      </c>
      <c r="BH243" t="s">
        <v>100</v>
      </c>
      <c r="BI243" t="s">
        <v>101</v>
      </c>
    </row>
    <row r="244" spans="1:62" ht="36" customHeight="1" x14ac:dyDescent="0.2">
      <c r="A244" s="2" t="s">
        <v>1528</v>
      </c>
      <c r="B244" s="35" t="s">
        <v>1529</v>
      </c>
      <c r="C244" s="2">
        <v>2013</v>
      </c>
      <c r="D244" s="2" t="s">
        <v>1530</v>
      </c>
      <c r="E244" s="35" t="s">
        <v>131</v>
      </c>
      <c r="F244" s="35" t="s">
        <v>1531</v>
      </c>
      <c r="G244" s="35" t="s">
        <v>131</v>
      </c>
      <c r="H244" s="35" t="s">
        <v>108</v>
      </c>
      <c r="I244" s="35"/>
      <c r="J244" s="35" t="s">
        <v>109</v>
      </c>
      <c r="K244" s="2"/>
      <c r="L244" s="2"/>
      <c r="M244" s="49" t="s">
        <v>1532</v>
      </c>
      <c r="N244" s="35" t="s">
        <v>1533</v>
      </c>
      <c r="O244" s="2"/>
      <c r="P244" s="2"/>
      <c r="Q244" s="2"/>
      <c r="R244" s="2"/>
      <c r="S244" s="2"/>
      <c r="T244" s="50" t="s">
        <v>1534</v>
      </c>
      <c r="U244" s="50"/>
      <c r="V244" s="35" t="s">
        <v>1535</v>
      </c>
      <c r="W244" s="17">
        <v>0.3</v>
      </c>
      <c r="X244" s="17">
        <v>0.35</v>
      </c>
      <c r="Y244" s="17">
        <v>0.35</v>
      </c>
      <c r="Z244" s="17">
        <v>0.5</v>
      </c>
      <c r="AA244" s="18" t="b">
        <f>FALSE()</f>
        <v>0</v>
      </c>
      <c r="AB244" s="18" t="s">
        <v>98</v>
      </c>
      <c r="AC244" s="19">
        <v>0.125</v>
      </c>
      <c r="AD244" s="19">
        <v>0.125</v>
      </c>
      <c r="AE244" s="19">
        <v>0.125</v>
      </c>
      <c r="AF244" s="19">
        <v>0.125</v>
      </c>
      <c r="AG244" s="19">
        <v>0.125</v>
      </c>
      <c r="AH244" s="19">
        <v>0.125</v>
      </c>
      <c r="AI244" s="19">
        <v>0.125</v>
      </c>
      <c r="AJ244" s="19">
        <v>0.125</v>
      </c>
      <c r="AK244" s="18" t="s">
        <v>333</v>
      </c>
      <c r="BF244" t="s">
        <v>99</v>
      </c>
      <c r="BH244" t="s">
        <v>100</v>
      </c>
      <c r="BI244" t="s">
        <v>101</v>
      </c>
    </row>
    <row r="245" spans="1:62" ht="36" customHeight="1" x14ac:dyDescent="0.2">
      <c r="A245" s="2" t="s">
        <v>1536</v>
      </c>
      <c r="B245" s="35" t="s">
        <v>1537</v>
      </c>
      <c r="C245" s="2">
        <v>2021</v>
      </c>
      <c r="D245" s="2" t="s">
        <v>1538</v>
      </c>
      <c r="E245" s="35" t="s">
        <v>131</v>
      </c>
      <c r="F245" s="35" t="s">
        <v>1531</v>
      </c>
      <c r="G245" s="35" t="s">
        <v>131</v>
      </c>
      <c r="H245" s="35" t="s">
        <v>108</v>
      </c>
      <c r="I245" s="35"/>
      <c r="J245" s="35" t="s">
        <v>109</v>
      </c>
      <c r="K245" s="2"/>
      <c r="L245" s="2"/>
      <c r="M245" s="49" t="s">
        <v>1539</v>
      </c>
      <c r="N245" s="35" t="s">
        <v>1533</v>
      </c>
      <c r="O245" s="2" t="s">
        <v>450</v>
      </c>
      <c r="P245" s="2"/>
      <c r="Q245" s="2"/>
      <c r="R245" s="2"/>
      <c r="S245" s="2"/>
      <c r="T245" s="50" t="s">
        <v>1540</v>
      </c>
      <c r="U245" s="50"/>
      <c r="V245" s="35" t="s">
        <v>1535</v>
      </c>
      <c r="W245" s="17">
        <v>0.3</v>
      </c>
      <c r="X245" s="17">
        <v>0.35</v>
      </c>
      <c r="Y245" s="17">
        <v>0.35</v>
      </c>
      <c r="Z245" s="17">
        <v>0.5</v>
      </c>
      <c r="AA245" s="18" t="b">
        <f>FALSE()</f>
        <v>0</v>
      </c>
      <c r="AB245" s="18" t="s">
        <v>98</v>
      </c>
      <c r="AC245" s="19">
        <v>0.125</v>
      </c>
      <c r="AD245" s="19">
        <v>0.125</v>
      </c>
      <c r="AE245" s="19">
        <v>0.125</v>
      </c>
      <c r="AF245" s="19">
        <v>0.125</v>
      </c>
      <c r="AG245" s="19">
        <v>0.125</v>
      </c>
      <c r="AH245" s="19">
        <v>0.125</v>
      </c>
      <c r="AI245" s="19">
        <v>0.125</v>
      </c>
      <c r="AJ245" s="19">
        <v>0.125</v>
      </c>
      <c r="AK245" s="18" t="s">
        <v>333</v>
      </c>
      <c r="BF245" t="s">
        <v>99</v>
      </c>
      <c r="BH245" t="s">
        <v>100</v>
      </c>
      <c r="BI245" t="s">
        <v>101</v>
      </c>
    </row>
    <row r="246" spans="1:62" ht="36" customHeight="1" x14ac:dyDescent="0.2">
      <c r="A246" s="2" t="s">
        <v>1541</v>
      </c>
      <c r="B246" s="35" t="s">
        <v>1542</v>
      </c>
      <c r="C246" s="2">
        <v>2018</v>
      </c>
      <c r="D246" s="2" t="s">
        <v>1543</v>
      </c>
      <c r="E246" s="35" t="s">
        <v>131</v>
      </c>
      <c r="F246" s="35" t="s">
        <v>1531</v>
      </c>
      <c r="G246" s="35" t="s">
        <v>131</v>
      </c>
      <c r="H246" s="35" t="s">
        <v>108</v>
      </c>
      <c r="I246" s="35"/>
      <c r="J246" s="35" t="s">
        <v>109</v>
      </c>
      <c r="K246" s="2"/>
      <c r="L246" s="2"/>
      <c r="M246" s="49" t="s">
        <v>1544</v>
      </c>
      <c r="N246" s="35" t="s">
        <v>1533</v>
      </c>
      <c r="O246" s="35" t="s">
        <v>450</v>
      </c>
      <c r="P246" s="2"/>
      <c r="Q246" s="2"/>
      <c r="R246" s="2"/>
      <c r="S246" s="2"/>
      <c r="T246" s="50" t="s">
        <v>1545</v>
      </c>
      <c r="U246" s="50"/>
      <c r="V246" s="35" t="s">
        <v>1535</v>
      </c>
      <c r="W246" s="17">
        <v>0.3</v>
      </c>
      <c r="X246" s="17">
        <v>0.35</v>
      </c>
      <c r="Y246" s="17">
        <v>0.35</v>
      </c>
      <c r="Z246" s="17">
        <v>0.5</v>
      </c>
      <c r="AA246" s="18" t="b">
        <f>FALSE()</f>
        <v>0</v>
      </c>
      <c r="AB246" s="18" t="s">
        <v>98</v>
      </c>
      <c r="AC246" s="19">
        <v>0.125</v>
      </c>
      <c r="AD246" s="19">
        <v>0.125</v>
      </c>
      <c r="AE246" s="19">
        <v>0.125</v>
      </c>
      <c r="AF246" s="19">
        <v>0.125</v>
      </c>
      <c r="AG246" s="19">
        <v>0.125</v>
      </c>
      <c r="AH246" s="19">
        <v>0.125</v>
      </c>
      <c r="AI246" s="19">
        <v>0.125</v>
      </c>
      <c r="AJ246" s="19">
        <v>0.125</v>
      </c>
      <c r="AK246" s="18" t="s">
        <v>333</v>
      </c>
      <c r="BF246" t="s">
        <v>99</v>
      </c>
      <c r="BH246" t="s">
        <v>100</v>
      </c>
      <c r="BI246" t="s">
        <v>101</v>
      </c>
    </row>
    <row r="247" spans="1:62" ht="36" customHeight="1" x14ac:dyDescent="0.2">
      <c r="A247" s="2" t="s">
        <v>1546</v>
      </c>
      <c r="B247" s="35" t="s">
        <v>1547</v>
      </c>
      <c r="C247" s="2">
        <v>2026</v>
      </c>
      <c r="D247" s="2" t="s">
        <v>1548</v>
      </c>
      <c r="E247" s="35" t="s">
        <v>131</v>
      </c>
      <c r="F247" s="35" t="s">
        <v>1549</v>
      </c>
      <c r="G247" s="35" t="s">
        <v>224</v>
      </c>
      <c r="H247" s="35" t="s">
        <v>121</v>
      </c>
      <c r="I247" s="35"/>
      <c r="J247" s="35" t="s">
        <v>109</v>
      </c>
      <c r="K247" s="2"/>
      <c r="L247" s="2"/>
      <c r="M247" s="49" t="s">
        <v>1550</v>
      </c>
      <c r="N247" s="35" t="s">
        <v>1533</v>
      </c>
      <c r="O247" s="35" t="s">
        <v>1551</v>
      </c>
      <c r="P247" s="2"/>
      <c r="Q247" s="2"/>
      <c r="R247" s="2"/>
      <c r="S247" s="2"/>
      <c r="T247" s="50" t="s">
        <v>1552</v>
      </c>
      <c r="U247" s="50"/>
      <c r="V247" s="35" t="s">
        <v>1535</v>
      </c>
      <c r="W247" s="17">
        <v>0.1</v>
      </c>
      <c r="X247" s="17">
        <v>0.15</v>
      </c>
      <c r="Y247" s="17">
        <v>0.15</v>
      </c>
      <c r="Z247" s="17">
        <v>0.5</v>
      </c>
      <c r="AA247" s="18" t="b">
        <f>FALSE()</f>
        <v>0</v>
      </c>
      <c r="AB247" s="18" t="s">
        <v>126</v>
      </c>
      <c r="AC247" s="19">
        <v>0.1</v>
      </c>
      <c r="AD247" s="19">
        <v>0.1</v>
      </c>
      <c r="AE247" s="19">
        <v>0.1</v>
      </c>
      <c r="AF247" s="19">
        <v>0.16700000000000001</v>
      </c>
      <c r="AG247" s="19">
        <v>0.1</v>
      </c>
      <c r="AH247" s="19">
        <v>0.1</v>
      </c>
      <c r="AI247" s="19">
        <v>0.1</v>
      </c>
      <c r="AJ247" s="19">
        <v>0.23300000000000001</v>
      </c>
      <c r="AK247" s="18" t="s">
        <v>1553</v>
      </c>
      <c r="BF247" t="s">
        <v>99</v>
      </c>
      <c r="BH247" t="s">
        <v>100</v>
      </c>
      <c r="BI247" t="s">
        <v>101</v>
      </c>
    </row>
    <row r="248" spans="1:62" ht="15.75" customHeight="1" x14ac:dyDescent="0.2">
      <c r="A248" s="2" t="s">
        <v>1989</v>
      </c>
      <c r="B248" s="2" t="s">
        <v>1554</v>
      </c>
      <c r="C248" s="2">
        <v>2017</v>
      </c>
      <c r="D248" s="2" t="s">
        <v>1555</v>
      </c>
      <c r="E248" s="2" t="s">
        <v>1225</v>
      </c>
      <c r="F248" s="14" t="s">
        <v>843</v>
      </c>
      <c r="G248" s="2" t="s">
        <v>131</v>
      </c>
      <c r="H248" s="2" t="s">
        <v>108</v>
      </c>
      <c r="I248" s="2"/>
      <c r="J248" s="2"/>
      <c r="K248" s="2"/>
      <c r="L248" s="2"/>
      <c r="M248" s="2"/>
      <c r="N248" s="2"/>
      <c r="O248" s="2"/>
      <c r="P248" s="2"/>
      <c r="Q248" s="55" t="s">
        <v>2105</v>
      </c>
      <c r="R248" s="35"/>
      <c r="S248" s="2"/>
      <c r="T248" s="2" t="s">
        <v>2117</v>
      </c>
      <c r="U248" s="2" t="s">
        <v>1557</v>
      </c>
      <c r="V248" s="47" t="s">
        <v>1558</v>
      </c>
      <c r="BF248" t="s">
        <v>99</v>
      </c>
      <c r="BH248" t="s">
        <v>334</v>
      </c>
      <c r="BI248" t="s">
        <v>1026</v>
      </c>
    </row>
    <row r="249" spans="1:62" ht="15.75" customHeight="1" x14ac:dyDescent="0.2">
      <c r="A249" s="2"/>
      <c r="B249" s="2" t="s">
        <v>1559</v>
      </c>
      <c r="C249" s="2">
        <v>2021</v>
      </c>
      <c r="D249" s="2" t="s">
        <v>1560</v>
      </c>
      <c r="E249" s="2" t="s">
        <v>1225</v>
      </c>
      <c r="F249" s="14" t="s">
        <v>843</v>
      </c>
      <c r="G249" s="2" t="s">
        <v>388</v>
      </c>
      <c r="H249" s="2" t="s">
        <v>91</v>
      </c>
      <c r="I249" s="2" t="s">
        <v>1561</v>
      </c>
      <c r="J249" s="2"/>
      <c r="K249" s="2" t="s">
        <v>1562</v>
      </c>
      <c r="L249" s="2" t="s">
        <v>1563</v>
      </c>
      <c r="M249" s="2" t="s">
        <v>1564</v>
      </c>
      <c r="N249" s="2"/>
      <c r="O249" s="2"/>
      <c r="P249" s="2"/>
      <c r="Q249" s="55" t="s">
        <v>1556</v>
      </c>
      <c r="R249" s="35"/>
      <c r="S249" s="2"/>
      <c r="T249" s="2"/>
      <c r="U249" s="2" t="s">
        <v>1565</v>
      </c>
      <c r="V249" s="47" t="s">
        <v>1566</v>
      </c>
      <c r="AL249">
        <v>0.33</v>
      </c>
      <c r="AM249">
        <v>0.14000000000000001</v>
      </c>
      <c r="AN249">
        <v>0.33</v>
      </c>
      <c r="AO249">
        <v>1</v>
      </c>
      <c r="AP249">
        <v>0.5</v>
      </c>
      <c r="AQ249">
        <v>0.5</v>
      </c>
      <c r="AR249">
        <v>0.14000000000000001</v>
      </c>
      <c r="BF249" t="s">
        <v>247</v>
      </c>
      <c r="BG249" t="s">
        <v>265</v>
      </c>
      <c r="BH249" t="s">
        <v>249</v>
      </c>
      <c r="BI249" t="s">
        <v>1567</v>
      </c>
      <c r="BJ249">
        <v>0.5</v>
      </c>
    </row>
    <row r="250" spans="1:62" ht="15.75" customHeight="1" x14ac:dyDescent="0.2">
      <c r="A250" s="2" t="s">
        <v>1990</v>
      </c>
      <c r="B250" s="2" t="s">
        <v>1568</v>
      </c>
      <c r="C250" s="2">
        <v>2017</v>
      </c>
      <c r="D250" s="2" t="s">
        <v>1569</v>
      </c>
      <c r="E250" s="2" t="s">
        <v>1225</v>
      </c>
      <c r="F250" s="14" t="s">
        <v>843</v>
      </c>
      <c r="G250" s="2" t="s">
        <v>91</v>
      </c>
      <c r="H250" s="2" t="s">
        <v>91</v>
      </c>
      <c r="I250" s="2" t="s">
        <v>1570</v>
      </c>
      <c r="J250" s="2"/>
      <c r="K250" s="2"/>
      <c r="L250" s="2"/>
      <c r="M250" s="2" t="s">
        <v>1571</v>
      </c>
      <c r="N250" s="2"/>
      <c r="O250" s="2"/>
      <c r="P250" s="2"/>
      <c r="Q250" s="55" t="s">
        <v>1556</v>
      </c>
      <c r="R250" s="35"/>
      <c r="S250" s="2"/>
      <c r="T250" s="2" t="s">
        <v>1572</v>
      </c>
      <c r="U250" s="2" t="s">
        <v>1573</v>
      </c>
      <c r="V250" s="47" t="s">
        <v>1566</v>
      </c>
      <c r="AL250">
        <v>0.33</v>
      </c>
      <c r="AM250">
        <v>0.14000000000000001</v>
      </c>
      <c r="AN250">
        <v>0.33</v>
      </c>
      <c r="AO250">
        <v>0.17</v>
      </c>
      <c r="AP250">
        <v>0.5</v>
      </c>
      <c r="AQ250">
        <v>0.33</v>
      </c>
      <c r="AR250">
        <v>0.14000000000000001</v>
      </c>
      <c r="BF250" t="s">
        <v>247</v>
      </c>
      <c r="BG250" t="s">
        <v>265</v>
      </c>
      <c r="BH250" t="s">
        <v>249</v>
      </c>
      <c r="BI250" t="s">
        <v>1574</v>
      </c>
      <c r="BJ250">
        <v>0</v>
      </c>
    </row>
    <row r="251" spans="1:62" ht="0.75" customHeight="1" x14ac:dyDescent="0.2">
      <c r="A251" s="2"/>
      <c r="B251" s="2" t="s">
        <v>1568</v>
      </c>
      <c r="C251" s="2">
        <v>2018</v>
      </c>
      <c r="D251" s="2" t="s">
        <v>1575</v>
      </c>
      <c r="E251" s="2" t="s">
        <v>1225</v>
      </c>
      <c r="F251" s="14" t="s">
        <v>843</v>
      </c>
      <c r="G251" s="2"/>
      <c r="H251" s="2"/>
      <c r="I251" s="2"/>
      <c r="J251" s="2"/>
      <c r="K251" s="2"/>
      <c r="L251" s="2"/>
      <c r="M251" s="2"/>
      <c r="N251" s="2"/>
      <c r="O251" s="2"/>
      <c r="P251" s="2"/>
      <c r="Q251" s="55" t="s">
        <v>1556</v>
      </c>
      <c r="R251" s="35"/>
      <c r="S251" s="2"/>
      <c r="T251" s="2"/>
      <c r="U251" s="2" t="s">
        <v>1576</v>
      </c>
      <c r="V251" s="2"/>
      <c r="BF251" t="s">
        <v>99</v>
      </c>
      <c r="BH251" t="s">
        <v>334</v>
      </c>
      <c r="BI251" t="s">
        <v>1577</v>
      </c>
    </row>
    <row r="252" spans="1:62" ht="127.5" customHeight="1" x14ac:dyDescent="0.2">
      <c r="A252" s="46" t="s">
        <v>699</v>
      </c>
      <c r="B252" s="47" t="s">
        <v>700</v>
      </c>
      <c r="C252" s="104" t="s">
        <v>431</v>
      </c>
      <c r="D252" s="47" t="s">
        <v>701</v>
      </c>
      <c r="E252" s="102" t="s">
        <v>524</v>
      </c>
      <c r="F252" s="21" t="s">
        <v>644</v>
      </c>
      <c r="G252" s="47" t="s">
        <v>261</v>
      </c>
      <c r="H252" s="21" t="s">
        <v>91</v>
      </c>
      <c r="I252" s="47"/>
      <c r="J252" s="47" t="s">
        <v>359</v>
      </c>
      <c r="K252" s="21" t="s">
        <v>693</v>
      </c>
      <c r="L252" s="102"/>
      <c r="M252" s="109" t="s">
        <v>702</v>
      </c>
      <c r="N252" s="21" t="s">
        <v>199</v>
      </c>
      <c r="O252" s="102" t="s">
        <v>377</v>
      </c>
      <c r="P252" s="102"/>
      <c r="Q252" s="47"/>
      <c r="R252" s="47"/>
      <c r="S252" s="47">
        <v>3</v>
      </c>
      <c r="T252" s="102"/>
      <c r="U252" s="102"/>
      <c r="V252" s="21" t="s">
        <v>97</v>
      </c>
      <c r="W252" s="17">
        <v>0.45</v>
      </c>
      <c r="X252" s="17">
        <v>0.3</v>
      </c>
      <c r="Y252" s="17">
        <v>0.65</v>
      </c>
      <c r="Z252" s="17">
        <v>0.75</v>
      </c>
      <c r="AA252" s="18" t="b">
        <f>TRUE()</f>
        <v>1</v>
      </c>
      <c r="AB252" s="18" t="s">
        <v>246</v>
      </c>
      <c r="AC252" s="19">
        <v>0</v>
      </c>
      <c r="AD252" s="19">
        <v>0</v>
      </c>
      <c r="AE252" s="19">
        <v>0</v>
      </c>
      <c r="AF252" s="19">
        <v>0.378</v>
      </c>
      <c r="AG252" s="19">
        <v>0.33300000000000002</v>
      </c>
      <c r="AH252" s="19">
        <v>0</v>
      </c>
      <c r="AI252" s="19">
        <v>0</v>
      </c>
      <c r="AJ252" s="19">
        <v>0.28899999999999998</v>
      </c>
      <c r="AK252" s="18" t="s">
        <v>442</v>
      </c>
      <c r="AL252">
        <v>0.67</v>
      </c>
      <c r="AM252">
        <v>0.14000000000000001</v>
      </c>
      <c r="AN252">
        <v>0.83</v>
      </c>
      <c r="AO252">
        <v>0.67</v>
      </c>
      <c r="AP252">
        <v>0.33</v>
      </c>
      <c r="AQ252">
        <v>0.67</v>
      </c>
      <c r="AR252">
        <v>0.71</v>
      </c>
      <c r="BF252" t="s">
        <v>247</v>
      </c>
      <c r="BG252" t="s">
        <v>265</v>
      </c>
      <c r="BH252" t="s">
        <v>249</v>
      </c>
      <c r="BI252" t="s">
        <v>703</v>
      </c>
      <c r="BJ252">
        <v>0.5</v>
      </c>
    </row>
    <row r="253" spans="1:62" ht="127.5" customHeight="1" x14ac:dyDescent="0.2">
      <c r="A253" s="42" t="s">
        <v>685</v>
      </c>
      <c r="B253" s="43" t="s">
        <v>686</v>
      </c>
      <c r="C253" s="90" t="s">
        <v>431</v>
      </c>
      <c r="D253" s="43" t="s">
        <v>687</v>
      </c>
      <c r="E253" s="103" t="s">
        <v>524</v>
      </c>
      <c r="F253" s="14" t="s">
        <v>631</v>
      </c>
      <c r="G253" s="43" t="s">
        <v>261</v>
      </c>
      <c r="H253" s="14" t="s">
        <v>91</v>
      </c>
      <c r="I253" s="43"/>
      <c r="J253" s="43" t="s">
        <v>589</v>
      </c>
      <c r="K253" s="14" t="s">
        <v>204</v>
      </c>
      <c r="L253" s="28"/>
      <c r="M253" s="45" t="s">
        <v>688</v>
      </c>
      <c r="N253" s="14" t="s">
        <v>199</v>
      </c>
      <c r="O253" s="28" t="s">
        <v>271</v>
      </c>
      <c r="P253" s="28"/>
      <c r="Q253" s="43"/>
      <c r="R253" s="43"/>
      <c r="S253" s="43">
        <v>4</v>
      </c>
      <c r="T253" s="28"/>
      <c r="U253" s="28"/>
      <c r="V253" s="21" t="s">
        <v>97</v>
      </c>
      <c r="W253" s="17">
        <v>0.71</v>
      </c>
      <c r="X253" s="17">
        <v>0.61</v>
      </c>
      <c r="Y253" s="17">
        <v>0.15</v>
      </c>
      <c r="Z253" s="17">
        <v>0.87</v>
      </c>
      <c r="AA253" s="18" t="b">
        <f>TRUE()</f>
        <v>1</v>
      </c>
      <c r="AB253" s="18" t="s">
        <v>246</v>
      </c>
      <c r="AC253" s="19">
        <v>0</v>
      </c>
      <c r="AD253" s="19">
        <v>0</v>
      </c>
      <c r="AE253" s="19">
        <v>0.34200000000000003</v>
      </c>
      <c r="AF253" s="19">
        <v>5.2999999999999999E-2</v>
      </c>
      <c r="AG253" s="19">
        <v>7.9000000000000001E-2</v>
      </c>
      <c r="AH253" s="19">
        <v>0.47399999999999998</v>
      </c>
      <c r="AI253" s="19">
        <v>0</v>
      </c>
      <c r="AJ253" s="19">
        <v>5.2999999999999999E-2</v>
      </c>
      <c r="AK253" s="18" t="s">
        <v>193</v>
      </c>
      <c r="AL253">
        <v>0.67</v>
      </c>
      <c r="AM253">
        <v>0.28999999999999998</v>
      </c>
      <c r="AN253">
        <v>0</v>
      </c>
      <c r="AO253">
        <v>0</v>
      </c>
      <c r="AP253">
        <v>0</v>
      </c>
      <c r="AQ253">
        <v>0.67</v>
      </c>
      <c r="AR253">
        <v>0.14000000000000001</v>
      </c>
      <c r="BF253" t="s">
        <v>247</v>
      </c>
      <c r="BG253" t="s">
        <v>265</v>
      </c>
      <c r="BH253" t="s">
        <v>249</v>
      </c>
      <c r="BI253" t="s">
        <v>689</v>
      </c>
    </row>
    <row r="254" spans="1:62" ht="127.5" customHeight="1" x14ac:dyDescent="0.2">
      <c r="A254" s="42" t="s">
        <v>1388</v>
      </c>
      <c r="B254" s="43" t="s">
        <v>1389</v>
      </c>
      <c r="C254" s="44">
        <v>2021</v>
      </c>
      <c r="D254" s="43" t="s">
        <v>1390</v>
      </c>
      <c r="E254" s="28" t="s">
        <v>788</v>
      </c>
      <c r="F254" s="14" t="s">
        <v>843</v>
      </c>
      <c r="G254" s="43" t="s">
        <v>131</v>
      </c>
      <c r="H254" s="14" t="s">
        <v>91</v>
      </c>
      <c r="I254" s="43"/>
      <c r="J254" s="43" t="s">
        <v>132</v>
      </c>
      <c r="K254" s="14" t="s">
        <v>295</v>
      </c>
      <c r="L254" s="28"/>
      <c r="M254" s="45" t="s">
        <v>2115</v>
      </c>
      <c r="N254" s="14" t="s">
        <v>235</v>
      </c>
      <c r="O254" s="28" t="s">
        <v>257</v>
      </c>
      <c r="P254" s="28"/>
      <c r="Q254" s="43" t="s">
        <v>113</v>
      </c>
      <c r="R254" s="43"/>
      <c r="S254" s="43">
        <v>4</v>
      </c>
      <c r="T254" s="28" t="s">
        <v>1391</v>
      </c>
      <c r="U254" s="28"/>
      <c r="V254" s="14" t="s">
        <v>97</v>
      </c>
      <c r="W254" s="17">
        <v>0.57999999999999996</v>
      </c>
      <c r="X254" s="17">
        <v>0.48</v>
      </c>
      <c r="Y254" s="17">
        <v>0.42</v>
      </c>
      <c r="Z254" s="17">
        <v>0.15</v>
      </c>
      <c r="AA254" s="18" t="b">
        <f>FALSE()</f>
        <v>0</v>
      </c>
      <c r="AB254" s="18" t="s">
        <v>98</v>
      </c>
      <c r="AC254" s="19">
        <v>7.9000000000000001E-2</v>
      </c>
      <c r="AD254" s="19">
        <v>0</v>
      </c>
      <c r="AE254" s="19">
        <v>5.2999999999999999E-2</v>
      </c>
      <c r="AF254" s="19">
        <v>0</v>
      </c>
      <c r="AG254" s="19">
        <v>0</v>
      </c>
      <c r="AH254" s="19">
        <v>0.105</v>
      </c>
      <c r="AI254" s="19">
        <v>0.76300000000000001</v>
      </c>
      <c r="AJ254" s="19">
        <v>0</v>
      </c>
      <c r="AK254" s="18" t="s">
        <v>299</v>
      </c>
      <c r="BF254" t="s">
        <v>99</v>
      </c>
      <c r="BH254" t="s">
        <v>100</v>
      </c>
      <c r="BI254" t="s">
        <v>101</v>
      </c>
    </row>
    <row r="255" spans="1:62" ht="15.75" customHeight="1" x14ac:dyDescent="0.2">
      <c r="A255" s="2"/>
      <c r="B255" s="28" t="s">
        <v>1583</v>
      </c>
      <c r="C255" s="2">
        <v>2014</v>
      </c>
      <c r="D255" s="28" t="s">
        <v>1584</v>
      </c>
      <c r="E255" s="2" t="s">
        <v>1585</v>
      </c>
      <c r="F255" s="2"/>
      <c r="G255" s="2"/>
      <c r="H255" s="2"/>
      <c r="I255" s="2"/>
      <c r="J255" s="2"/>
      <c r="K255" s="2"/>
      <c r="L255" s="2"/>
      <c r="M255" s="2"/>
      <c r="N255" s="2"/>
      <c r="O255" s="2"/>
      <c r="P255" s="2"/>
      <c r="Q255" s="2"/>
      <c r="R255" s="2"/>
      <c r="S255" s="2"/>
      <c r="T255" s="2"/>
      <c r="U255" s="2"/>
      <c r="V255" s="35" t="s">
        <v>1586</v>
      </c>
      <c r="BF255" t="s">
        <v>99</v>
      </c>
      <c r="BH255" t="s">
        <v>334</v>
      </c>
      <c r="BI255" t="s">
        <v>1587</v>
      </c>
    </row>
    <row r="256" spans="1:62" ht="15.75" customHeight="1" x14ac:dyDescent="0.2">
      <c r="A256" s="54" t="s">
        <v>1588</v>
      </c>
      <c r="B256" s="35" t="s">
        <v>1589</v>
      </c>
      <c r="C256" s="38">
        <v>2024</v>
      </c>
      <c r="D256" s="35" t="s">
        <v>1590</v>
      </c>
      <c r="E256" s="35" t="s">
        <v>788</v>
      </c>
      <c r="F256" s="35" t="s">
        <v>789</v>
      </c>
      <c r="G256" s="35" t="s">
        <v>131</v>
      </c>
      <c r="H256" s="35" t="s">
        <v>241</v>
      </c>
      <c r="I256" s="35"/>
      <c r="J256" s="35" t="s">
        <v>132</v>
      </c>
      <c r="K256" s="35" t="s">
        <v>295</v>
      </c>
      <c r="L256" s="35"/>
      <c r="M256" s="49" t="s">
        <v>1591</v>
      </c>
      <c r="N256" s="35" t="s">
        <v>297</v>
      </c>
      <c r="O256" s="35" t="s">
        <v>457</v>
      </c>
      <c r="P256" s="35"/>
      <c r="Q256" s="35"/>
      <c r="R256" s="35"/>
      <c r="S256" s="35">
        <v>3</v>
      </c>
      <c r="T256" s="35"/>
      <c r="U256" s="35"/>
      <c r="V256" s="28" t="s">
        <v>97</v>
      </c>
      <c r="W256" s="17">
        <v>0.2</v>
      </c>
      <c r="X256" s="17">
        <v>0.15</v>
      </c>
      <c r="Y256" s="17">
        <v>0.65</v>
      </c>
      <c r="Z256" s="17">
        <v>0.05</v>
      </c>
      <c r="AA256" s="18" t="b">
        <f>FALSE()</f>
        <v>0</v>
      </c>
      <c r="AB256" s="18" t="s">
        <v>98</v>
      </c>
      <c r="AC256" s="19">
        <v>0.214</v>
      </c>
      <c r="AD256" s="19">
        <v>0</v>
      </c>
      <c r="AE256" s="19">
        <v>0</v>
      </c>
      <c r="AF256" s="19">
        <v>9.5000000000000001E-2</v>
      </c>
      <c r="AG256" s="19">
        <v>0</v>
      </c>
      <c r="AH256" s="19">
        <v>0</v>
      </c>
      <c r="AI256" s="19">
        <v>0.64300000000000002</v>
      </c>
      <c r="AJ256" s="19">
        <v>4.8000000000000001E-2</v>
      </c>
      <c r="AK256" s="18" t="s">
        <v>299</v>
      </c>
      <c r="BF256" t="s">
        <v>99</v>
      </c>
      <c r="BH256" t="s">
        <v>100</v>
      </c>
      <c r="BI256" t="s">
        <v>101</v>
      </c>
    </row>
    <row r="257" spans="1:62" ht="15.75" customHeight="1" x14ac:dyDescent="0.2">
      <c r="A257" s="100" t="s">
        <v>372</v>
      </c>
      <c r="B257" s="103" t="s">
        <v>373</v>
      </c>
      <c r="C257" s="105" t="s">
        <v>374</v>
      </c>
      <c r="D257" s="103" t="s">
        <v>375</v>
      </c>
      <c r="E257" s="103" t="s">
        <v>231</v>
      </c>
      <c r="F257" s="103" t="s">
        <v>358</v>
      </c>
      <c r="G257" s="103" t="s">
        <v>367</v>
      </c>
      <c r="H257" s="103" t="s">
        <v>306</v>
      </c>
      <c r="I257" s="103"/>
      <c r="J257" s="103" t="s">
        <v>368</v>
      </c>
      <c r="K257" s="103" t="s">
        <v>360</v>
      </c>
      <c r="L257" s="103"/>
      <c r="M257" s="108" t="s">
        <v>376</v>
      </c>
      <c r="N257" s="14" t="s">
        <v>192</v>
      </c>
      <c r="O257" s="103" t="s">
        <v>377</v>
      </c>
      <c r="P257" s="103"/>
      <c r="Q257" s="103"/>
      <c r="R257" s="103"/>
      <c r="S257" s="103">
        <v>3</v>
      </c>
      <c r="T257" s="103"/>
      <c r="U257" s="103"/>
      <c r="V257" s="102" t="s">
        <v>97</v>
      </c>
      <c r="W257" s="17">
        <v>0.5</v>
      </c>
      <c r="X257" s="17">
        <v>0.42</v>
      </c>
      <c r="Y257" s="17">
        <v>0.35</v>
      </c>
      <c r="Z257" s="17">
        <v>0.95</v>
      </c>
      <c r="AA257" s="18" t="b">
        <f>TRUE()</f>
        <v>1</v>
      </c>
      <c r="AB257" s="18" t="s">
        <v>246</v>
      </c>
      <c r="AC257" s="19">
        <v>0.71799999999999997</v>
      </c>
      <c r="AD257" s="19">
        <v>0.20499999999999999</v>
      </c>
      <c r="AE257" s="19">
        <v>0</v>
      </c>
      <c r="AF257" s="19">
        <v>7.6999999999999999E-2</v>
      </c>
      <c r="AG257" s="19">
        <v>0</v>
      </c>
      <c r="AH257" s="19">
        <v>0</v>
      </c>
      <c r="AI257" s="19">
        <v>0</v>
      </c>
      <c r="AJ257" s="19">
        <v>0</v>
      </c>
      <c r="AK257" s="18" t="s">
        <v>333</v>
      </c>
      <c r="BF257" t="s">
        <v>99</v>
      </c>
      <c r="BH257" t="s">
        <v>334</v>
      </c>
      <c r="BI257" t="s">
        <v>378</v>
      </c>
    </row>
    <row r="258" spans="1:62" ht="15.75" customHeight="1" x14ac:dyDescent="0.2">
      <c r="A258" s="54" t="s">
        <v>1598</v>
      </c>
      <c r="B258" s="35" t="s">
        <v>1599</v>
      </c>
      <c r="C258" s="48">
        <v>2025</v>
      </c>
      <c r="D258" s="35" t="s">
        <v>1600</v>
      </c>
      <c r="E258" s="35" t="s">
        <v>788</v>
      </c>
      <c r="F258" s="35" t="s">
        <v>789</v>
      </c>
      <c r="G258" s="35" t="s">
        <v>131</v>
      </c>
      <c r="H258" s="35" t="s">
        <v>91</v>
      </c>
      <c r="I258" s="35"/>
      <c r="J258" s="35" t="s">
        <v>718</v>
      </c>
      <c r="K258" s="35" t="s">
        <v>295</v>
      </c>
      <c r="L258" s="35"/>
      <c r="M258" s="49" t="s">
        <v>1601</v>
      </c>
      <c r="N258" s="35" t="s">
        <v>297</v>
      </c>
      <c r="O258" s="35" t="s">
        <v>1602</v>
      </c>
      <c r="P258" s="35"/>
      <c r="Q258" s="35" t="s">
        <v>901</v>
      </c>
      <c r="R258" s="35"/>
      <c r="S258" s="35">
        <v>1</v>
      </c>
      <c r="T258" s="35" t="s">
        <v>1603</v>
      </c>
      <c r="U258" s="35"/>
      <c r="V258" s="35" t="s">
        <v>1604</v>
      </c>
      <c r="W258" s="17">
        <v>0.2</v>
      </c>
      <c r="X258" s="17">
        <v>0.15</v>
      </c>
      <c r="Y258" s="17">
        <v>0.65</v>
      </c>
      <c r="Z258" s="17">
        <v>0.05</v>
      </c>
      <c r="AA258" s="18" t="b">
        <f>FALSE()</f>
        <v>0</v>
      </c>
      <c r="AB258" s="18" t="s">
        <v>98</v>
      </c>
      <c r="AC258" s="19">
        <v>0.214</v>
      </c>
      <c r="AD258" s="19">
        <v>0</v>
      </c>
      <c r="AE258" s="19">
        <v>0</v>
      </c>
      <c r="AF258" s="19">
        <v>9.5000000000000001E-2</v>
      </c>
      <c r="AG258" s="19">
        <v>0</v>
      </c>
      <c r="AH258" s="19">
        <v>0</v>
      </c>
      <c r="AI258" s="19">
        <v>0.64300000000000002</v>
      </c>
      <c r="AJ258" s="19">
        <v>4.8000000000000001E-2</v>
      </c>
      <c r="AK258" s="18" t="s">
        <v>299</v>
      </c>
      <c r="BF258" t="s">
        <v>99</v>
      </c>
      <c r="BH258" t="s">
        <v>100</v>
      </c>
      <c r="BI258" t="s">
        <v>101</v>
      </c>
    </row>
    <row r="259" spans="1:62" ht="15.75" customHeight="1" x14ac:dyDescent="0.2">
      <c r="A259" s="100" t="s">
        <v>598</v>
      </c>
      <c r="B259" s="103" t="s">
        <v>599</v>
      </c>
      <c r="C259" s="105" t="s">
        <v>173</v>
      </c>
      <c r="D259" s="103" t="s">
        <v>600</v>
      </c>
      <c r="E259" s="103" t="s">
        <v>524</v>
      </c>
      <c r="F259" s="103" t="s">
        <v>588</v>
      </c>
      <c r="G259" s="103" t="s">
        <v>261</v>
      </c>
      <c r="H259" s="103" t="s">
        <v>91</v>
      </c>
      <c r="I259" s="103"/>
      <c r="J259" s="103" t="s">
        <v>589</v>
      </c>
      <c r="K259" s="103" t="s">
        <v>590</v>
      </c>
      <c r="L259" s="103"/>
      <c r="M259" s="108" t="s">
        <v>601</v>
      </c>
      <c r="N259" s="103" t="s">
        <v>199</v>
      </c>
      <c r="O259" s="103" t="s">
        <v>377</v>
      </c>
      <c r="P259" s="103"/>
      <c r="Q259" s="103"/>
      <c r="R259" s="103"/>
      <c r="S259" s="103">
        <v>5</v>
      </c>
      <c r="T259" s="103"/>
      <c r="U259" s="103"/>
      <c r="V259" s="102" t="s">
        <v>97</v>
      </c>
      <c r="W259" s="17">
        <v>0.84</v>
      </c>
      <c r="X259" s="17">
        <v>0.67</v>
      </c>
      <c r="Y259" s="17">
        <v>0.42</v>
      </c>
      <c r="Z259" s="17">
        <v>0.88</v>
      </c>
      <c r="AA259" s="18" t="b">
        <f>TRUE()</f>
        <v>1</v>
      </c>
      <c r="AB259" s="18" t="s">
        <v>246</v>
      </c>
      <c r="AC259" s="19">
        <v>0</v>
      </c>
      <c r="AD259" s="19">
        <v>0</v>
      </c>
      <c r="AE259" s="19">
        <v>0.6</v>
      </c>
      <c r="AF259" s="19">
        <v>0.17799999999999999</v>
      </c>
      <c r="AG259" s="19">
        <v>0.13300000000000001</v>
      </c>
      <c r="AH259" s="19">
        <v>8.8999999999999996E-2</v>
      </c>
      <c r="AI259" s="19">
        <v>0</v>
      </c>
      <c r="AJ259" s="19">
        <v>0</v>
      </c>
      <c r="AK259" s="18" t="s">
        <v>342</v>
      </c>
      <c r="AL259">
        <v>0.67</v>
      </c>
      <c r="AM259">
        <v>0.56999999999999995</v>
      </c>
      <c r="AN259">
        <v>0.33</v>
      </c>
      <c r="AO259">
        <v>1</v>
      </c>
      <c r="AP259">
        <v>0.5</v>
      </c>
      <c r="AQ259">
        <v>0.5</v>
      </c>
      <c r="AR259">
        <v>0.14000000000000001</v>
      </c>
      <c r="AS259" s="86" t="s">
        <v>342</v>
      </c>
      <c r="BF259" t="s">
        <v>247</v>
      </c>
      <c r="BG259" t="s">
        <v>265</v>
      </c>
      <c r="BH259" t="s">
        <v>249</v>
      </c>
      <c r="BI259" t="s">
        <v>602</v>
      </c>
      <c r="BJ259">
        <v>1</v>
      </c>
    </row>
    <row r="260" spans="1:62" ht="15.75" customHeight="1" x14ac:dyDescent="0.2">
      <c r="A260" s="98" t="s">
        <v>840</v>
      </c>
      <c r="B260" s="102" t="s">
        <v>841</v>
      </c>
      <c r="C260" s="104" t="s">
        <v>173</v>
      </c>
      <c r="D260" s="102" t="s">
        <v>842</v>
      </c>
      <c r="E260" s="102" t="s">
        <v>231</v>
      </c>
      <c r="F260" s="102" t="s">
        <v>843</v>
      </c>
      <c r="G260" s="102" t="s">
        <v>844</v>
      </c>
      <c r="H260" s="102" t="s">
        <v>91</v>
      </c>
      <c r="I260" s="102"/>
      <c r="J260" s="102" t="s">
        <v>845</v>
      </c>
      <c r="K260" s="102" t="s">
        <v>295</v>
      </c>
      <c r="L260" s="102"/>
      <c r="M260" s="109" t="s">
        <v>846</v>
      </c>
      <c r="N260" s="21" t="s">
        <v>235</v>
      </c>
      <c r="O260" s="102" t="s">
        <v>298</v>
      </c>
      <c r="P260" s="102"/>
      <c r="Q260" s="102"/>
      <c r="R260" s="102"/>
      <c r="S260" s="102">
        <v>3</v>
      </c>
      <c r="T260" s="102"/>
      <c r="U260" s="102"/>
      <c r="V260" s="102" t="s">
        <v>97</v>
      </c>
      <c r="W260" s="17">
        <v>0.57999999999999996</v>
      </c>
      <c r="X260" s="17">
        <v>0.43</v>
      </c>
      <c r="Y260" s="17">
        <v>0.42</v>
      </c>
      <c r="Z260" s="17">
        <v>0.2</v>
      </c>
      <c r="AA260" s="18" t="b">
        <f>TRUE()</f>
        <v>1</v>
      </c>
      <c r="AB260" s="18" t="s">
        <v>246</v>
      </c>
      <c r="AC260" s="19">
        <v>7.9000000000000001E-2</v>
      </c>
      <c r="AD260" s="19">
        <v>0</v>
      </c>
      <c r="AE260" s="19">
        <v>5.2999999999999999E-2</v>
      </c>
      <c r="AF260" s="19">
        <v>0</v>
      </c>
      <c r="AG260" s="19">
        <v>0</v>
      </c>
      <c r="AH260" s="19">
        <v>0.105</v>
      </c>
      <c r="AI260" s="19">
        <v>0.76300000000000001</v>
      </c>
      <c r="AJ260" s="19">
        <v>0</v>
      </c>
      <c r="AK260" s="18" t="s">
        <v>299</v>
      </c>
      <c r="AL260">
        <v>0.33</v>
      </c>
      <c r="AM260">
        <v>0.14000000000000001</v>
      </c>
      <c r="AN260">
        <v>0.33</v>
      </c>
      <c r="AO260">
        <v>0.17</v>
      </c>
      <c r="AP260">
        <v>0.83</v>
      </c>
      <c r="AQ260">
        <v>0.17</v>
      </c>
      <c r="AR260">
        <v>0</v>
      </c>
      <c r="BF260" t="s">
        <v>247</v>
      </c>
      <c r="BG260" t="s">
        <v>265</v>
      </c>
      <c r="BH260" t="s">
        <v>249</v>
      </c>
      <c r="BI260" t="s">
        <v>847</v>
      </c>
      <c r="BJ260">
        <v>0</v>
      </c>
    </row>
    <row r="261" spans="1:62" ht="15.75" customHeight="1" x14ac:dyDescent="0.2">
      <c r="A261" s="54" t="s">
        <v>1616</v>
      </c>
      <c r="B261" s="35" t="s">
        <v>1617</v>
      </c>
      <c r="C261" s="48">
        <v>2026</v>
      </c>
      <c r="D261" s="35" t="s">
        <v>1618</v>
      </c>
      <c r="E261" s="35" t="s">
        <v>788</v>
      </c>
      <c r="F261" s="35" t="s">
        <v>292</v>
      </c>
      <c r="G261" s="35" t="s">
        <v>107</v>
      </c>
      <c r="H261" s="35" t="s">
        <v>91</v>
      </c>
      <c r="I261" s="35"/>
      <c r="J261" s="35" t="s">
        <v>132</v>
      </c>
      <c r="K261" s="35" t="s">
        <v>295</v>
      </c>
      <c r="L261" s="35"/>
      <c r="M261" s="49" t="s">
        <v>1619</v>
      </c>
      <c r="N261" s="21" t="s">
        <v>297</v>
      </c>
      <c r="O261" s="35" t="s">
        <v>1337</v>
      </c>
      <c r="P261" s="35"/>
      <c r="Q261" s="35" t="s">
        <v>1376</v>
      </c>
      <c r="R261" s="35"/>
      <c r="S261" s="35">
        <v>4</v>
      </c>
      <c r="T261" s="35" t="s">
        <v>2118</v>
      </c>
      <c r="U261" s="35"/>
      <c r="V261" s="28" t="s">
        <v>97</v>
      </c>
      <c r="W261" s="17">
        <v>0.15</v>
      </c>
      <c r="X261" s="17">
        <v>0.12</v>
      </c>
      <c r="Y261" s="17">
        <v>0.22</v>
      </c>
      <c r="Z261" s="17">
        <v>0.05</v>
      </c>
      <c r="AA261" s="18" t="b">
        <f>FALSE()</f>
        <v>0</v>
      </c>
      <c r="AB261" s="18" t="s">
        <v>98</v>
      </c>
      <c r="AC261" s="19">
        <v>0.25</v>
      </c>
      <c r="AD261" s="19">
        <v>0</v>
      </c>
      <c r="AE261" s="19">
        <v>0</v>
      </c>
      <c r="AF261" s="19">
        <v>0</v>
      </c>
      <c r="AG261" s="19">
        <v>0</v>
      </c>
      <c r="AH261" s="19">
        <v>0</v>
      </c>
      <c r="AI261" s="19">
        <v>0.75</v>
      </c>
      <c r="AJ261" s="19">
        <v>0</v>
      </c>
      <c r="AK261" s="18" t="s">
        <v>299</v>
      </c>
      <c r="BF261" t="s">
        <v>99</v>
      </c>
      <c r="BH261" t="s">
        <v>100</v>
      </c>
      <c r="BI261" t="s">
        <v>101</v>
      </c>
    </row>
    <row r="262" spans="1:62" ht="15.75" customHeight="1" x14ac:dyDescent="0.2">
      <c r="A262" s="2" t="s">
        <v>1620</v>
      </c>
      <c r="B262" s="35" t="s">
        <v>1621</v>
      </c>
      <c r="C262" s="2">
        <v>2019</v>
      </c>
      <c r="D262" s="35" t="s">
        <v>1622</v>
      </c>
      <c r="E262" s="35" t="s">
        <v>1623</v>
      </c>
      <c r="F262" s="35" t="s">
        <v>1623</v>
      </c>
      <c r="G262" s="35" t="s">
        <v>131</v>
      </c>
      <c r="H262" s="35" t="s">
        <v>108</v>
      </c>
      <c r="I262" s="2"/>
      <c r="J262" s="35" t="s">
        <v>1624</v>
      </c>
      <c r="K262" s="35" t="s">
        <v>1624</v>
      </c>
      <c r="L262" s="2"/>
      <c r="M262" s="35" t="s">
        <v>1625</v>
      </c>
      <c r="N262" s="47" t="s">
        <v>1623</v>
      </c>
      <c r="O262" s="2" t="s">
        <v>244</v>
      </c>
      <c r="P262" s="2"/>
      <c r="Q262" s="2" t="s">
        <v>2045</v>
      </c>
      <c r="R262" s="2"/>
      <c r="S262" s="2"/>
      <c r="T262" s="2" t="s">
        <v>1626</v>
      </c>
      <c r="U262" s="50" t="s">
        <v>1627</v>
      </c>
      <c r="V262" s="35" t="s">
        <v>1628</v>
      </c>
      <c r="BF262" t="s">
        <v>99</v>
      </c>
      <c r="BH262" t="s">
        <v>100</v>
      </c>
      <c r="BI262" t="s">
        <v>101</v>
      </c>
    </row>
    <row r="263" spans="1:62" ht="15.75" customHeight="1" x14ac:dyDescent="0.2">
      <c r="A263" s="54" t="s">
        <v>1629</v>
      </c>
      <c r="B263" s="35" t="s">
        <v>1630</v>
      </c>
      <c r="C263" s="48">
        <v>2026</v>
      </c>
      <c r="D263" s="35" t="s">
        <v>1631</v>
      </c>
      <c r="E263" s="35" t="s">
        <v>788</v>
      </c>
      <c r="F263" s="35" t="s">
        <v>789</v>
      </c>
      <c r="G263" s="35" t="s">
        <v>131</v>
      </c>
      <c r="H263" s="35" t="s">
        <v>108</v>
      </c>
      <c r="I263" s="35"/>
      <c r="J263" s="35" t="s">
        <v>132</v>
      </c>
      <c r="K263" s="35" t="s">
        <v>295</v>
      </c>
      <c r="L263" s="35"/>
      <c r="M263" s="49" t="s">
        <v>1632</v>
      </c>
      <c r="N263" s="35" t="s">
        <v>297</v>
      </c>
      <c r="O263" s="35" t="s">
        <v>1602</v>
      </c>
      <c r="P263" s="35"/>
      <c r="Q263" s="35" t="s">
        <v>901</v>
      </c>
      <c r="R263" s="35"/>
      <c r="S263" s="35">
        <v>1</v>
      </c>
      <c r="T263" s="35" t="s">
        <v>1603</v>
      </c>
      <c r="U263" s="35"/>
      <c r="V263" s="35" t="s">
        <v>1604</v>
      </c>
      <c r="W263" s="17">
        <v>0.2</v>
      </c>
      <c r="X263" s="17">
        <v>0.15</v>
      </c>
      <c r="Y263" s="17">
        <v>0.65</v>
      </c>
      <c r="Z263" s="17">
        <v>0.05</v>
      </c>
      <c r="AA263" s="18" t="b">
        <f>FALSE()</f>
        <v>0</v>
      </c>
      <c r="AB263" s="18" t="s">
        <v>98</v>
      </c>
      <c r="AC263" s="19">
        <v>0.214</v>
      </c>
      <c r="AD263" s="19">
        <v>0</v>
      </c>
      <c r="AE263" s="19">
        <v>0</v>
      </c>
      <c r="AF263" s="19">
        <v>9.5000000000000001E-2</v>
      </c>
      <c r="AG263" s="19">
        <v>0</v>
      </c>
      <c r="AH263" s="19">
        <v>0</v>
      </c>
      <c r="AI263" s="19">
        <v>0.64300000000000002</v>
      </c>
      <c r="AJ263" s="19">
        <v>4.8000000000000001E-2</v>
      </c>
      <c r="AK263" s="18" t="s">
        <v>299</v>
      </c>
      <c r="BF263" t="s">
        <v>99</v>
      </c>
      <c r="BH263" t="s">
        <v>100</v>
      </c>
      <c r="BI263" t="s">
        <v>101</v>
      </c>
    </row>
    <row r="264" spans="1:62" ht="15.75" customHeight="1" x14ac:dyDescent="0.2">
      <c r="A264" s="2" t="s">
        <v>1633</v>
      </c>
      <c r="B264" s="2" t="s">
        <v>1634</v>
      </c>
      <c r="C264" s="2">
        <v>1990</v>
      </c>
      <c r="D264" s="2" t="s">
        <v>1635</v>
      </c>
      <c r="E264" s="14" t="s">
        <v>788</v>
      </c>
      <c r="F264" s="14" t="s">
        <v>789</v>
      </c>
      <c r="G264" s="14" t="s">
        <v>329</v>
      </c>
      <c r="H264" s="14" t="s">
        <v>91</v>
      </c>
      <c r="I264" s="2"/>
      <c r="J264" s="2"/>
      <c r="K264" s="28" t="s">
        <v>295</v>
      </c>
      <c r="L264" s="28" t="s">
        <v>804</v>
      </c>
      <c r="M264" s="2"/>
      <c r="N264" s="2"/>
      <c r="O264" s="2" t="s">
        <v>1636</v>
      </c>
      <c r="P264" s="2"/>
      <c r="Q264" s="2" t="s">
        <v>868</v>
      </c>
      <c r="R264" s="2" t="s">
        <v>1637</v>
      </c>
      <c r="S264" s="2"/>
      <c r="T264" s="2" t="s">
        <v>1638</v>
      </c>
      <c r="U264" s="50" t="s">
        <v>1639</v>
      </c>
      <c r="V264" s="2" t="s">
        <v>1640</v>
      </c>
      <c r="BF264" t="s">
        <v>99</v>
      </c>
      <c r="BH264" t="s">
        <v>334</v>
      </c>
      <c r="BI264" t="s">
        <v>1641</v>
      </c>
    </row>
    <row r="265" spans="1:62" ht="15.75" customHeight="1" x14ac:dyDescent="0.2">
      <c r="A265" s="2" t="s">
        <v>1642</v>
      </c>
      <c r="B265" s="2" t="s">
        <v>1643</v>
      </c>
      <c r="C265" s="2">
        <v>2021</v>
      </c>
      <c r="D265" s="2" t="s">
        <v>1644</v>
      </c>
      <c r="E265" s="14" t="s">
        <v>788</v>
      </c>
      <c r="F265" s="14" t="s">
        <v>789</v>
      </c>
      <c r="G265" s="14" t="s">
        <v>329</v>
      </c>
      <c r="H265" s="14" t="s">
        <v>91</v>
      </c>
      <c r="I265" s="2"/>
      <c r="J265" s="2"/>
      <c r="K265" s="28" t="s">
        <v>295</v>
      </c>
      <c r="L265" s="28" t="s">
        <v>804</v>
      </c>
      <c r="M265" s="2"/>
      <c r="N265" s="2"/>
      <c r="O265" s="2" t="s">
        <v>575</v>
      </c>
      <c r="P265" s="2"/>
      <c r="Q265" s="2" t="s">
        <v>159</v>
      </c>
      <c r="R265" s="2"/>
      <c r="S265" s="2"/>
      <c r="T265" s="2" t="s">
        <v>1645</v>
      </c>
      <c r="U265" s="50" t="s">
        <v>1646</v>
      </c>
      <c r="V265" s="2" t="s">
        <v>1640</v>
      </c>
      <c r="BF265" t="s">
        <v>99</v>
      </c>
      <c r="BH265" t="s">
        <v>334</v>
      </c>
      <c r="BI265" t="s">
        <v>1647</v>
      </c>
    </row>
    <row r="266" spans="1:62" ht="15.75" customHeight="1" x14ac:dyDescent="0.2">
      <c r="A266" s="2" t="s">
        <v>1648</v>
      </c>
      <c r="B266" s="2" t="s">
        <v>1649</v>
      </c>
      <c r="C266" s="2">
        <v>1999</v>
      </c>
      <c r="D266" s="2" t="s">
        <v>1650</v>
      </c>
      <c r="E266" s="14" t="s">
        <v>788</v>
      </c>
      <c r="F266" s="14" t="s">
        <v>789</v>
      </c>
      <c r="G266" s="14" t="s">
        <v>1263</v>
      </c>
      <c r="H266" s="14" t="s">
        <v>108</v>
      </c>
      <c r="I266" s="2"/>
      <c r="J266" s="2"/>
      <c r="K266" s="28" t="s">
        <v>295</v>
      </c>
      <c r="L266" s="28" t="s">
        <v>804</v>
      </c>
      <c r="M266" s="28" t="s">
        <v>1651</v>
      </c>
      <c r="N266" s="2"/>
      <c r="O266" s="2" t="s">
        <v>575</v>
      </c>
      <c r="P266" s="2"/>
      <c r="Q266" s="2" t="s">
        <v>159</v>
      </c>
      <c r="R266" s="2"/>
      <c r="S266" s="2"/>
      <c r="T266" s="2" t="s">
        <v>1652</v>
      </c>
      <c r="U266" s="50" t="s">
        <v>1653</v>
      </c>
      <c r="V266" s="2" t="s">
        <v>1640</v>
      </c>
      <c r="BF266" t="s">
        <v>99</v>
      </c>
      <c r="BH266" t="s">
        <v>100</v>
      </c>
      <c r="BI266" t="s">
        <v>101</v>
      </c>
    </row>
    <row r="267" spans="1:62" ht="15.75" customHeight="1" x14ac:dyDescent="0.2">
      <c r="A267" s="2" t="s">
        <v>1654</v>
      </c>
      <c r="B267" s="2" t="s">
        <v>1655</v>
      </c>
      <c r="C267" s="2">
        <v>2022</v>
      </c>
      <c r="D267" s="2" t="s">
        <v>1656</v>
      </c>
      <c r="E267" s="14" t="s">
        <v>788</v>
      </c>
      <c r="F267" s="14" t="s">
        <v>789</v>
      </c>
      <c r="G267" s="14" t="s">
        <v>1263</v>
      </c>
      <c r="H267" s="14" t="s">
        <v>108</v>
      </c>
      <c r="I267" s="2"/>
      <c r="J267" s="2"/>
      <c r="K267" s="28" t="s">
        <v>295</v>
      </c>
      <c r="L267" s="28" t="s">
        <v>804</v>
      </c>
      <c r="M267" s="28" t="s">
        <v>1657</v>
      </c>
      <c r="N267" s="2"/>
      <c r="O267" s="2" t="s">
        <v>1658</v>
      </c>
      <c r="P267" s="2"/>
      <c r="Q267" s="2" t="s">
        <v>159</v>
      </c>
      <c r="R267" s="2"/>
      <c r="S267" s="2"/>
      <c r="T267" s="2" t="s">
        <v>1652</v>
      </c>
      <c r="U267" s="50" t="s">
        <v>1659</v>
      </c>
      <c r="V267" s="2" t="s">
        <v>1640</v>
      </c>
      <c r="BF267" t="s">
        <v>99</v>
      </c>
      <c r="BH267" t="s">
        <v>100</v>
      </c>
      <c r="BI267" t="s">
        <v>101</v>
      </c>
    </row>
    <row r="268" spans="1:62" ht="30" customHeight="1" x14ac:dyDescent="0.2">
      <c r="A268" s="20" t="s">
        <v>364</v>
      </c>
      <c r="B268" s="21" t="s">
        <v>365</v>
      </c>
      <c r="C268" s="22" t="s">
        <v>173</v>
      </c>
      <c r="D268" s="21" t="s">
        <v>366</v>
      </c>
      <c r="E268" s="21" t="s">
        <v>231</v>
      </c>
      <c r="F268" s="21" t="s">
        <v>358</v>
      </c>
      <c r="G268" s="21" t="s">
        <v>367</v>
      </c>
      <c r="H268" s="21" t="s">
        <v>306</v>
      </c>
      <c r="I268" s="21"/>
      <c r="J268" s="21" t="s">
        <v>368</v>
      </c>
      <c r="K268" s="21" t="s">
        <v>360</v>
      </c>
      <c r="L268" s="21"/>
      <c r="M268" s="23" t="s">
        <v>369</v>
      </c>
      <c r="N268" s="21" t="s">
        <v>192</v>
      </c>
      <c r="O268" s="21" t="s">
        <v>370</v>
      </c>
      <c r="P268" s="21"/>
      <c r="Q268" s="21"/>
      <c r="R268" s="21"/>
      <c r="S268" s="21">
        <v>3</v>
      </c>
      <c r="T268" s="21"/>
      <c r="U268" s="21"/>
      <c r="V268" s="21" t="s">
        <v>97</v>
      </c>
      <c r="W268" s="17">
        <v>0.5</v>
      </c>
      <c r="X268" s="17">
        <v>0.42</v>
      </c>
      <c r="Y268" s="17">
        <v>0.35</v>
      </c>
      <c r="Z268" s="17">
        <v>0.95</v>
      </c>
      <c r="AA268" s="18" t="b">
        <f>TRUE()</f>
        <v>1</v>
      </c>
      <c r="AB268" s="18" t="s">
        <v>246</v>
      </c>
      <c r="AC268" s="19">
        <v>0.71799999999999997</v>
      </c>
      <c r="AD268" s="19">
        <v>0.20499999999999999</v>
      </c>
      <c r="AE268" s="19">
        <v>0</v>
      </c>
      <c r="AF268" s="19">
        <v>7.6999999999999999E-2</v>
      </c>
      <c r="AG268" s="19">
        <v>0</v>
      </c>
      <c r="AH268" s="19">
        <v>0</v>
      </c>
      <c r="AI268" s="19">
        <v>0</v>
      </c>
      <c r="AJ268" s="19">
        <v>0</v>
      </c>
      <c r="AK268" s="18" t="s">
        <v>333</v>
      </c>
      <c r="BF268" t="s">
        <v>99</v>
      </c>
      <c r="BH268" t="s">
        <v>334</v>
      </c>
      <c r="BI268" t="s">
        <v>371</v>
      </c>
    </row>
    <row r="269" spans="1:62" ht="30" customHeight="1" x14ac:dyDescent="0.2">
      <c r="A269" s="20" t="s">
        <v>259</v>
      </c>
      <c r="B269" s="21" t="s">
        <v>229</v>
      </c>
      <c r="C269" s="22" t="s">
        <v>129</v>
      </c>
      <c r="D269" s="102" t="s">
        <v>260</v>
      </c>
      <c r="E269" s="21" t="s">
        <v>231</v>
      </c>
      <c r="F269" s="21" t="s">
        <v>232</v>
      </c>
      <c r="G269" s="21" t="s">
        <v>261</v>
      </c>
      <c r="H269" s="21" t="s">
        <v>91</v>
      </c>
      <c r="I269" s="21"/>
      <c r="J269" s="21" t="s">
        <v>262</v>
      </c>
      <c r="K269" s="21" t="s">
        <v>233</v>
      </c>
      <c r="L269" s="21"/>
      <c r="M269" s="23" t="s">
        <v>263</v>
      </c>
      <c r="N269" s="21" t="s">
        <v>235</v>
      </c>
      <c r="O269" s="21" t="s">
        <v>264</v>
      </c>
      <c r="P269" s="21"/>
      <c r="Q269" s="21"/>
      <c r="R269" s="21"/>
      <c r="S269" s="21">
        <v>3</v>
      </c>
      <c r="T269" s="21"/>
      <c r="U269" s="21"/>
      <c r="V269" s="21" t="s">
        <v>97</v>
      </c>
      <c r="W269" s="17">
        <v>0.4</v>
      </c>
      <c r="X269" s="17">
        <v>0.35</v>
      </c>
      <c r="Y269" s="17">
        <v>0.55000000000000004</v>
      </c>
      <c r="Z269" s="17">
        <v>0.15</v>
      </c>
      <c r="AA269" s="18" t="b">
        <f>TRUE()</f>
        <v>1</v>
      </c>
      <c r="AB269" s="18" t="s">
        <v>246</v>
      </c>
      <c r="AC269" s="19">
        <v>0</v>
      </c>
      <c r="AD269" s="19">
        <v>0</v>
      </c>
      <c r="AE269" s="19">
        <v>0</v>
      </c>
      <c r="AF269" s="19">
        <v>0</v>
      </c>
      <c r="AG269" s="19">
        <v>0</v>
      </c>
      <c r="AH269" s="19">
        <v>0.57099999999999995</v>
      </c>
      <c r="AI269" s="19">
        <v>0.42899999999999999</v>
      </c>
      <c r="AJ269" s="19">
        <v>0</v>
      </c>
      <c r="AK269" s="18" t="s">
        <v>193</v>
      </c>
      <c r="AL269">
        <v>0.17</v>
      </c>
      <c r="AM269">
        <v>0.43</v>
      </c>
      <c r="AN269">
        <v>0.33</v>
      </c>
      <c r="AO269">
        <v>0</v>
      </c>
      <c r="AP269">
        <v>0.67</v>
      </c>
      <c r="AQ269">
        <v>0.17</v>
      </c>
      <c r="AR269">
        <v>0</v>
      </c>
      <c r="BF269" t="s">
        <v>247</v>
      </c>
      <c r="BG269" t="s">
        <v>265</v>
      </c>
      <c r="BH269" t="s">
        <v>249</v>
      </c>
      <c r="BI269" t="s">
        <v>266</v>
      </c>
      <c r="BJ269">
        <v>0</v>
      </c>
    </row>
    <row r="270" spans="1:62" ht="30" customHeight="1" x14ac:dyDescent="0.2">
      <c r="A270" s="13" t="s">
        <v>267</v>
      </c>
      <c r="B270" s="14" t="s">
        <v>237</v>
      </c>
      <c r="C270" s="15" t="s">
        <v>129</v>
      </c>
      <c r="D270" s="103" t="s">
        <v>268</v>
      </c>
      <c r="E270" s="14" t="s">
        <v>231</v>
      </c>
      <c r="F270" s="14" t="s">
        <v>232</v>
      </c>
      <c r="G270" s="14" t="s">
        <v>261</v>
      </c>
      <c r="H270" s="14" t="s">
        <v>91</v>
      </c>
      <c r="I270" s="14"/>
      <c r="J270" s="14" t="s">
        <v>269</v>
      </c>
      <c r="K270" s="14" t="s">
        <v>233</v>
      </c>
      <c r="L270" s="14"/>
      <c r="M270" s="16" t="s">
        <v>270</v>
      </c>
      <c r="N270" s="14" t="s">
        <v>235</v>
      </c>
      <c r="O270" s="14" t="s">
        <v>271</v>
      </c>
      <c r="P270" s="14"/>
      <c r="Q270" s="14"/>
      <c r="R270" s="14"/>
      <c r="S270" s="14">
        <v>3</v>
      </c>
      <c r="T270" s="14"/>
      <c r="U270" s="14"/>
      <c r="V270" s="21" t="s">
        <v>97</v>
      </c>
      <c r="W270" s="17">
        <v>0.4</v>
      </c>
      <c r="X270" s="17">
        <v>0.35</v>
      </c>
      <c r="Y270" s="17">
        <v>0.55000000000000004</v>
      </c>
      <c r="Z270" s="17">
        <v>0.15</v>
      </c>
      <c r="AA270" s="18" t="b">
        <f>TRUE()</f>
        <v>1</v>
      </c>
      <c r="AB270" s="18" t="s">
        <v>246</v>
      </c>
      <c r="AC270" s="19">
        <v>0</v>
      </c>
      <c r="AD270" s="19">
        <v>0</v>
      </c>
      <c r="AE270" s="19">
        <v>0</v>
      </c>
      <c r="AF270" s="19">
        <v>0</v>
      </c>
      <c r="AG270" s="19">
        <v>0</v>
      </c>
      <c r="AH270" s="19">
        <v>0.57099999999999995</v>
      </c>
      <c r="AI270" s="19">
        <v>0.42899999999999999</v>
      </c>
      <c r="AJ270" s="19">
        <v>0</v>
      </c>
      <c r="AK270" s="18" t="s">
        <v>193</v>
      </c>
      <c r="AL270">
        <v>0.17</v>
      </c>
      <c r="AM270">
        <v>0.43</v>
      </c>
      <c r="AN270">
        <v>0.33</v>
      </c>
      <c r="AO270">
        <v>0</v>
      </c>
      <c r="AP270">
        <v>0.67</v>
      </c>
      <c r="AQ270">
        <v>0.17</v>
      </c>
      <c r="AR270">
        <v>0</v>
      </c>
      <c r="BF270" t="s">
        <v>247</v>
      </c>
      <c r="BG270" t="s">
        <v>265</v>
      </c>
      <c r="BH270" t="s">
        <v>249</v>
      </c>
      <c r="BI270" t="s">
        <v>272</v>
      </c>
      <c r="BJ270">
        <v>0</v>
      </c>
    </row>
    <row r="271" spans="1:62" ht="30" customHeight="1" x14ac:dyDescent="0.2">
      <c r="A271" s="20" t="s">
        <v>379</v>
      </c>
      <c r="B271" s="21" t="s">
        <v>380</v>
      </c>
      <c r="C271" s="22" t="s">
        <v>129</v>
      </c>
      <c r="D271" s="102" t="s">
        <v>381</v>
      </c>
      <c r="E271" s="21" t="s">
        <v>231</v>
      </c>
      <c r="F271" s="21" t="s">
        <v>358</v>
      </c>
      <c r="G271" s="21" t="s">
        <v>367</v>
      </c>
      <c r="H271" s="21" t="s">
        <v>306</v>
      </c>
      <c r="I271" s="21"/>
      <c r="J271" s="21" t="s">
        <v>368</v>
      </c>
      <c r="K271" s="21" t="s">
        <v>360</v>
      </c>
      <c r="L271" s="21"/>
      <c r="M271" s="23" t="s">
        <v>382</v>
      </c>
      <c r="N271" s="21" t="s">
        <v>192</v>
      </c>
      <c r="O271" s="21" t="s">
        <v>112</v>
      </c>
      <c r="P271" s="21"/>
      <c r="Q271" s="21"/>
      <c r="R271" s="21"/>
      <c r="S271" s="21">
        <v>2</v>
      </c>
      <c r="T271" s="21" t="s">
        <v>383</v>
      </c>
      <c r="U271" s="21"/>
      <c r="V271" s="21" t="s">
        <v>97</v>
      </c>
      <c r="W271" s="17">
        <v>0.5</v>
      </c>
      <c r="X271" s="17">
        <v>0.42</v>
      </c>
      <c r="Y271" s="17">
        <v>0.35</v>
      </c>
      <c r="Z271" s="17">
        <v>0.95</v>
      </c>
      <c r="AA271" s="18" t="b">
        <f>TRUE()</f>
        <v>1</v>
      </c>
      <c r="AB271" s="18" t="s">
        <v>246</v>
      </c>
      <c r="AC271" s="19">
        <v>0.71799999999999997</v>
      </c>
      <c r="AD271" s="19">
        <v>0.20499999999999999</v>
      </c>
      <c r="AE271" s="19">
        <v>0</v>
      </c>
      <c r="AF271" s="19">
        <v>7.6999999999999999E-2</v>
      </c>
      <c r="AG271" s="19">
        <v>0</v>
      </c>
      <c r="AH271" s="19">
        <v>0</v>
      </c>
      <c r="AI271" s="19">
        <v>0</v>
      </c>
      <c r="AJ271" s="19">
        <v>0</v>
      </c>
      <c r="AK271" s="18" t="s">
        <v>333</v>
      </c>
      <c r="BF271" t="s">
        <v>99</v>
      </c>
      <c r="BH271" t="s">
        <v>334</v>
      </c>
      <c r="BI271" t="s">
        <v>378</v>
      </c>
    </row>
    <row r="272" spans="1:62" ht="30" customHeight="1" x14ac:dyDescent="0.2">
      <c r="A272" s="13" t="s">
        <v>278</v>
      </c>
      <c r="B272" s="14" t="s">
        <v>279</v>
      </c>
      <c r="C272" s="15" t="s">
        <v>136</v>
      </c>
      <c r="D272" s="103" t="s">
        <v>280</v>
      </c>
      <c r="E272" s="14" t="s">
        <v>231</v>
      </c>
      <c r="F272" s="14" t="s">
        <v>232</v>
      </c>
      <c r="G272" s="14" t="s">
        <v>261</v>
      </c>
      <c r="H272" s="14" t="s">
        <v>91</v>
      </c>
      <c r="I272" s="14"/>
      <c r="J272" s="14" t="s">
        <v>262</v>
      </c>
      <c r="K272" s="14" t="s">
        <v>233</v>
      </c>
      <c r="L272" s="14"/>
      <c r="M272" s="16" t="s">
        <v>281</v>
      </c>
      <c r="N272" s="14" t="s">
        <v>235</v>
      </c>
      <c r="O272" s="14" t="s">
        <v>271</v>
      </c>
      <c r="P272" s="14"/>
      <c r="Q272" s="14"/>
      <c r="R272" s="14"/>
      <c r="S272" s="14">
        <v>3</v>
      </c>
      <c r="T272" s="14"/>
      <c r="U272" s="14"/>
      <c r="V272" s="21" t="s">
        <v>97</v>
      </c>
      <c r="W272" s="17">
        <v>0.4</v>
      </c>
      <c r="X272" s="17">
        <v>0.35</v>
      </c>
      <c r="Y272" s="17">
        <v>0.55000000000000004</v>
      </c>
      <c r="Z272" s="17">
        <v>0.15</v>
      </c>
      <c r="AA272" s="18" t="b">
        <f>TRUE()</f>
        <v>1</v>
      </c>
      <c r="AB272" s="18" t="s">
        <v>246</v>
      </c>
      <c r="AC272" s="19">
        <v>0</v>
      </c>
      <c r="AD272" s="19">
        <v>0</v>
      </c>
      <c r="AE272" s="19">
        <v>0</v>
      </c>
      <c r="AF272" s="19">
        <v>0</v>
      </c>
      <c r="AG272" s="19">
        <v>0</v>
      </c>
      <c r="AH272" s="19">
        <v>0.57099999999999995</v>
      </c>
      <c r="AI272" s="19">
        <v>0.42899999999999999</v>
      </c>
      <c r="AJ272" s="19">
        <v>0</v>
      </c>
      <c r="AK272" s="18" t="s">
        <v>193</v>
      </c>
      <c r="AL272">
        <v>0.17</v>
      </c>
      <c r="AM272">
        <v>0.43</v>
      </c>
      <c r="AN272">
        <v>0.5</v>
      </c>
      <c r="AO272">
        <v>0.17</v>
      </c>
      <c r="AP272">
        <v>0.67</v>
      </c>
      <c r="AQ272">
        <v>0.17</v>
      </c>
      <c r="AR272">
        <v>0</v>
      </c>
      <c r="BF272" t="s">
        <v>247</v>
      </c>
      <c r="BG272" t="s">
        <v>265</v>
      </c>
      <c r="BH272" t="s">
        <v>249</v>
      </c>
      <c r="BI272" t="s">
        <v>282</v>
      </c>
      <c r="BJ272">
        <v>0</v>
      </c>
    </row>
    <row r="273" spans="1:62" ht="30" customHeight="1" x14ac:dyDescent="0.2">
      <c r="A273" s="20" t="s">
        <v>763</v>
      </c>
      <c r="B273" s="21" t="s">
        <v>764</v>
      </c>
      <c r="C273" s="22" t="s">
        <v>136</v>
      </c>
      <c r="D273" s="35" t="s">
        <v>765</v>
      </c>
      <c r="E273" s="21" t="s">
        <v>737</v>
      </c>
      <c r="F273" s="21" t="s">
        <v>631</v>
      </c>
      <c r="G273" s="21" t="s">
        <v>261</v>
      </c>
      <c r="H273" s="21" t="s">
        <v>91</v>
      </c>
      <c r="I273" s="21"/>
      <c r="J273" s="21" t="s">
        <v>269</v>
      </c>
      <c r="K273" s="21" t="s">
        <v>590</v>
      </c>
      <c r="L273" s="21"/>
      <c r="M273" s="23" t="s">
        <v>766</v>
      </c>
      <c r="N273" s="21" t="s">
        <v>199</v>
      </c>
      <c r="O273" s="21" t="s">
        <v>767</v>
      </c>
      <c r="P273" s="21"/>
      <c r="Q273" s="21"/>
      <c r="R273" s="21"/>
      <c r="S273" s="21">
        <v>3</v>
      </c>
      <c r="T273" s="21"/>
      <c r="U273" s="21"/>
      <c r="V273" s="21" t="s">
        <v>97</v>
      </c>
      <c r="W273" s="17">
        <v>0.74</v>
      </c>
      <c r="X273" s="17">
        <v>0.61</v>
      </c>
      <c r="Y273" s="17">
        <v>0.15</v>
      </c>
      <c r="Z273" s="17">
        <v>0.92</v>
      </c>
      <c r="AA273" s="18" t="b">
        <f>TRUE()</f>
        <v>1</v>
      </c>
      <c r="AB273" s="18" t="s">
        <v>246</v>
      </c>
      <c r="AC273" s="19">
        <v>0</v>
      </c>
      <c r="AD273" s="19">
        <v>0</v>
      </c>
      <c r="AE273" s="19">
        <v>0.75600000000000001</v>
      </c>
      <c r="AF273" s="19">
        <v>0.19500000000000001</v>
      </c>
      <c r="AG273" s="19">
        <v>0</v>
      </c>
      <c r="AH273" s="19">
        <v>0</v>
      </c>
      <c r="AI273" s="19">
        <v>0</v>
      </c>
      <c r="AJ273" s="19">
        <v>4.9000000000000002E-2</v>
      </c>
      <c r="AK273" s="18" t="s">
        <v>342</v>
      </c>
      <c r="AL273">
        <v>0.67</v>
      </c>
      <c r="AM273">
        <v>0.28999999999999998</v>
      </c>
      <c r="AN273">
        <v>0</v>
      </c>
      <c r="AO273">
        <v>0</v>
      </c>
      <c r="AP273">
        <v>0</v>
      </c>
      <c r="AQ273">
        <v>0.33</v>
      </c>
      <c r="AR273">
        <v>0.14000000000000001</v>
      </c>
      <c r="BF273" t="s">
        <v>247</v>
      </c>
      <c r="BG273" t="s">
        <v>248</v>
      </c>
      <c r="BH273" t="s">
        <v>249</v>
      </c>
      <c r="BI273" t="s">
        <v>768</v>
      </c>
    </row>
    <row r="274" spans="1:62" ht="15.75" customHeight="1" x14ac:dyDescent="0.2">
      <c r="A274" s="99" t="s">
        <v>2229</v>
      </c>
      <c r="B274" s="102" t="s">
        <v>1250</v>
      </c>
      <c r="C274" s="104">
        <v>2013</v>
      </c>
      <c r="D274" s="102" t="s">
        <v>1251</v>
      </c>
      <c r="E274" s="102" t="s">
        <v>788</v>
      </c>
      <c r="F274" s="102" t="s">
        <v>789</v>
      </c>
      <c r="G274" s="102" t="s">
        <v>293</v>
      </c>
      <c r="H274" s="102" t="s">
        <v>91</v>
      </c>
      <c r="I274" s="102" t="s">
        <v>1252</v>
      </c>
      <c r="J274" s="102" t="s">
        <v>1227</v>
      </c>
      <c r="K274" s="99" t="s">
        <v>1253</v>
      </c>
      <c r="L274" s="107" t="s">
        <v>1254</v>
      </c>
      <c r="M274" s="102" t="s">
        <v>1255</v>
      </c>
      <c r="N274" s="102" t="s">
        <v>297</v>
      </c>
      <c r="O274" s="99" t="s">
        <v>165</v>
      </c>
      <c r="P274" s="99"/>
      <c r="Q274" s="99" t="s">
        <v>113</v>
      </c>
      <c r="R274" s="99" t="s">
        <v>610</v>
      </c>
      <c r="S274" s="99"/>
      <c r="T274" s="99" t="s">
        <v>1256</v>
      </c>
      <c r="U274" s="107" t="s">
        <v>1257</v>
      </c>
      <c r="V274" s="102" t="s">
        <v>872</v>
      </c>
      <c r="AA274" t="b">
        <f>TRUE()</f>
        <v>1</v>
      </c>
      <c r="AB274" s="18" t="s">
        <v>246</v>
      </c>
      <c r="AL274">
        <v>0.17</v>
      </c>
      <c r="AM274">
        <v>0.14000000000000001</v>
      </c>
      <c r="AN274">
        <v>0.67</v>
      </c>
      <c r="AO274">
        <v>0.5</v>
      </c>
      <c r="AP274">
        <v>0.5</v>
      </c>
      <c r="AQ274">
        <v>0.17</v>
      </c>
      <c r="AR274">
        <v>0.14000000000000001</v>
      </c>
      <c r="BF274" t="s">
        <v>247</v>
      </c>
      <c r="BG274" s="86" t="s">
        <v>615</v>
      </c>
      <c r="BH274" s="86" t="s">
        <v>2228</v>
      </c>
      <c r="BI274" t="s">
        <v>1258</v>
      </c>
      <c r="BJ274">
        <v>0</v>
      </c>
    </row>
    <row r="275" spans="1:62" ht="15.75" customHeight="1" x14ac:dyDescent="0.2">
      <c r="A275" s="99" t="s">
        <v>2230</v>
      </c>
      <c r="B275" s="102" t="s">
        <v>1250</v>
      </c>
      <c r="C275" s="104">
        <v>2013</v>
      </c>
      <c r="D275" s="102" t="s">
        <v>1251</v>
      </c>
      <c r="E275" s="102" t="s">
        <v>788</v>
      </c>
      <c r="F275" s="102" t="s">
        <v>789</v>
      </c>
      <c r="G275" s="102" t="s">
        <v>293</v>
      </c>
      <c r="H275" s="102" t="s">
        <v>91</v>
      </c>
      <c r="I275" s="102" t="s">
        <v>1252</v>
      </c>
      <c r="J275" s="102" t="s">
        <v>1227</v>
      </c>
      <c r="K275" s="99" t="s">
        <v>1253</v>
      </c>
      <c r="L275" s="107" t="s">
        <v>1259</v>
      </c>
      <c r="M275" s="102" t="s">
        <v>1255</v>
      </c>
      <c r="N275" s="102" t="s">
        <v>297</v>
      </c>
      <c r="O275" s="99" t="s">
        <v>165</v>
      </c>
      <c r="P275" s="99"/>
      <c r="Q275" s="99" t="s">
        <v>113</v>
      </c>
      <c r="R275" s="99" t="s">
        <v>610</v>
      </c>
      <c r="S275" s="99"/>
      <c r="T275" s="99" t="s">
        <v>1256</v>
      </c>
      <c r="U275" s="107" t="s">
        <v>1257</v>
      </c>
      <c r="V275" s="102" t="s">
        <v>872</v>
      </c>
      <c r="AA275" t="b">
        <f>TRUE()</f>
        <v>1</v>
      </c>
      <c r="AB275" s="18" t="s">
        <v>246</v>
      </c>
      <c r="AL275">
        <v>0.17</v>
      </c>
      <c r="AM275">
        <v>0.14000000000000001</v>
      </c>
      <c r="AN275">
        <v>0.67</v>
      </c>
      <c r="AO275">
        <v>0.5</v>
      </c>
      <c r="AP275">
        <v>0.5</v>
      </c>
      <c r="AQ275">
        <v>0.17</v>
      </c>
      <c r="AR275">
        <v>0.14000000000000001</v>
      </c>
      <c r="BF275" t="s">
        <v>247</v>
      </c>
      <c r="BG275" s="86" t="s">
        <v>615</v>
      </c>
      <c r="BH275" s="86" t="s">
        <v>2228</v>
      </c>
      <c r="BI275" t="s">
        <v>1260</v>
      </c>
      <c r="BJ275">
        <v>0</v>
      </c>
    </row>
    <row r="276" spans="1:62" ht="15.75" customHeight="1" x14ac:dyDescent="0.2">
      <c r="A276" s="2" t="s">
        <v>2193</v>
      </c>
      <c r="B276" s="102" t="s">
        <v>2192</v>
      </c>
      <c r="C276" s="104">
        <v>2009</v>
      </c>
      <c r="D276" s="102" t="s">
        <v>2191</v>
      </c>
      <c r="E276" s="102" t="s">
        <v>788</v>
      </c>
      <c r="F276" s="102" t="s">
        <v>828</v>
      </c>
      <c r="G276" s="102" t="s">
        <v>293</v>
      </c>
      <c r="H276" s="102" t="s">
        <v>91</v>
      </c>
      <c r="I276" s="102" t="s">
        <v>2194</v>
      </c>
      <c r="J276" s="102" t="s">
        <v>718</v>
      </c>
      <c r="K276" s="102" t="s">
        <v>1302</v>
      </c>
      <c r="L276" s="2"/>
      <c r="M276" s="2"/>
      <c r="N276" s="2"/>
      <c r="O276" s="2"/>
      <c r="P276" s="2"/>
      <c r="Q276" s="2"/>
      <c r="R276" s="2"/>
      <c r="S276" s="2"/>
      <c r="T276" s="2"/>
      <c r="U276" s="2"/>
      <c r="V276" s="2"/>
      <c r="AL276">
        <v>0.17</v>
      </c>
      <c r="AM276">
        <v>0</v>
      </c>
      <c r="AN276">
        <v>0.41500000000000004</v>
      </c>
      <c r="AO276">
        <v>0.83</v>
      </c>
      <c r="AP276">
        <v>0.33</v>
      </c>
      <c r="AQ276">
        <v>0.17</v>
      </c>
      <c r="AR276">
        <v>0.14000000000000001</v>
      </c>
      <c r="BF276" t="s">
        <v>247</v>
      </c>
      <c r="BG276" s="86" t="s">
        <v>615</v>
      </c>
      <c r="BH276" s="86" t="s">
        <v>2034</v>
      </c>
    </row>
    <row r="277" spans="1:62" ht="15.75" customHeight="1" x14ac:dyDescent="0.2">
      <c r="A277" s="100" t="s">
        <v>976</v>
      </c>
      <c r="B277" s="103" t="s">
        <v>977</v>
      </c>
      <c r="C277" s="106">
        <v>2009</v>
      </c>
      <c r="D277" s="103" t="s">
        <v>978</v>
      </c>
      <c r="E277" s="103" t="s">
        <v>788</v>
      </c>
      <c r="F277" s="103" t="s">
        <v>789</v>
      </c>
      <c r="G277" s="103" t="s">
        <v>305</v>
      </c>
      <c r="H277" s="103" t="s">
        <v>91</v>
      </c>
      <c r="I277" s="103" t="s">
        <v>2167</v>
      </c>
      <c r="J277" s="103" t="s">
        <v>979</v>
      </c>
      <c r="K277" s="103" t="s">
        <v>2168</v>
      </c>
      <c r="L277" s="103" t="s">
        <v>2169</v>
      </c>
      <c r="M277" s="108" t="s">
        <v>980</v>
      </c>
      <c r="N277" s="103" t="s">
        <v>297</v>
      </c>
      <c r="O277" s="103" t="s">
        <v>981</v>
      </c>
      <c r="P277" s="103" t="s">
        <v>982</v>
      </c>
      <c r="Q277" s="103" t="s">
        <v>2170</v>
      </c>
      <c r="R277" s="103" t="s">
        <v>610</v>
      </c>
      <c r="S277" s="103">
        <v>4</v>
      </c>
      <c r="T277" s="103" t="s">
        <v>2166</v>
      </c>
      <c r="U277" s="103" t="s">
        <v>2165</v>
      </c>
      <c r="V277" s="103" t="s">
        <v>983</v>
      </c>
      <c r="W277" s="17">
        <v>0.2</v>
      </c>
      <c r="X277" s="17">
        <v>0.15</v>
      </c>
      <c r="Y277" s="17">
        <v>0.7</v>
      </c>
      <c r="Z277" s="17">
        <v>0.05</v>
      </c>
      <c r="AA277" s="18" t="b">
        <f>TRUE()</f>
        <v>1</v>
      </c>
      <c r="AB277" s="18" t="s">
        <v>246</v>
      </c>
      <c r="AC277" s="19">
        <v>0.214</v>
      </c>
      <c r="AD277" s="19">
        <v>0</v>
      </c>
      <c r="AE277" s="19">
        <v>0</v>
      </c>
      <c r="AF277" s="19">
        <v>9.5000000000000001E-2</v>
      </c>
      <c r="AG277" s="19">
        <v>0</v>
      </c>
      <c r="AH277" s="19">
        <v>0</v>
      </c>
      <c r="AI277" s="19">
        <v>0.64300000000000002</v>
      </c>
      <c r="AJ277" s="19">
        <v>4.8000000000000001E-2</v>
      </c>
      <c r="AK277" s="18" t="s">
        <v>299</v>
      </c>
      <c r="AL277">
        <v>0.17</v>
      </c>
      <c r="AM277">
        <v>0.94500000000000006</v>
      </c>
      <c r="AN277" s="86">
        <v>0.91500000000000004</v>
      </c>
      <c r="AO277">
        <v>0.83</v>
      </c>
      <c r="AP277">
        <v>0.33</v>
      </c>
      <c r="AQ277">
        <v>0.67</v>
      </c>
      <c r="AR277">
        <v>0.86</v>
      </c>
      <c r="AS277" s="86" t="s">
        <v>2171</v>
      </c>
      <c r="AT277" s="86" t="s">
        <v>2172</v>
      </c>
      <c r="AU277" s="86" t="s">
        <v>2174</v>
      </c>
      <c r="AV277" s="86" t="s">
        <v>2173</v>
      </c>
      <c r="BF277" t="s">
        <v>247</v>
      </c>
      <c r="BG277" s="86" t="s">
        <v>615</v>
      </c>
      <c r="BH277" s="86" t="s">
        <v>2034</v>
      </c>
      <c r="BI277" t="s">
        <v>984</v>
      </c>
      <c r="BJ277">
        <v>0</v>
      </c>
    </row>
    <row r="278" spans="1:62" ht="15.75" customHeight="1" x14ac:dyDescent="0.2">
      <c r="A278" s="100" t="s">
        <v>289</v>
      </c>
      <c r="B278" s="103" t="s">
        <v>290</v>
      </c>
      <c r="C278" s="105" t="s">
        <v>156</v>
      </c>
      <c r="D278" s="103" t="s">
        <v>291</v>
      </c>
      <c r="E278" s="103" t="s">
        <v>231</v>
      </c>
      <c r="F278" s="103" t="s">
        <v>292</v>
      </c>
      <c r="G278" s="103" t="s">
        <v>293</v>
      </c>
      <c r="H278" s="103" t="s">
        <v>91</v>
      </c>
      <c r="I278" s="103" t="s">
        <v>2223</v>
      </c>
      <c r="J278" s="103" t="s">
        <v>294</v>
      </c>
      <c r="K278" s="103" t="s">
        <v>295</v>
      </c>
      <c r="L278" s="103" t="s">
        <v>2216</v>
      </c>
      <c r="M278" s="108" t="s">
        <v>296</v>
      </c>
      <c r="N278" s="103" t="s">
        <v>297</v>
      </c>
      <c r="O278" s="103" t="s">
        <v>298</v>
      </c>
      <c r="P278" s="103"/>
      <c r="Q278" s="103" t="s">
        <v>2170</v>
      </c>
      <c r="R278" s="103" t="s">
        <v>610</v>
      </c>
      <c r="S278" s="103">
        <v>5</v>
      </c>
      <c r="T278" s="103" t="s">
        <v>2215</v>
      </c>
      <c r="U278" s="103" t="s">
        <v>2214</v>
      </c>
      <c r="V278" s="102" t="s">
        <v>97</v>
      </c>
      <c r="W278" s="17">
        <v>0.1</v>
      </c>
      <c r="X278" s="17">
        <v>7.0000000000000007E-2</v>
      </c>
      <c r="Y278" s="17">
        <v>0.27</v>
      </c>
      <c r="Z278" s="17">
        <v>0.05</v>
      </c>
      <c r="AA278" s="18" t="b">
        <f>TRUE()</f>
        <v>1</v>
      </c>
      <c r="AB278" s="18" t="s">
        <v>246</v>
      </c>
      <c r="AC278" s="19">
        <v>0.25</v>
      </c>
      <c r="AD278" s="19">
        <v>0</v>
      </c>
      <c r="AE278" s="19">
        <v>0</v>
      </c>
      <c r="AF278" s="19">
        <v>0</v>
      </c>
      <c r="AG278" s="19">
        <v>0</v>
      </c>
      <c r="AH278" s="19">
        <v>0</v>
      </c>
      <c r="AI278" s="19">
        <v>0.75</v>
      </c>
      <c r="AJ278" s="19">
        <v>0</v>
      </c>
      <c r="AK278" s="18" t="s">
        <v>299</v>
      </c>
      <c r="AL278">
        <v>0.67</v>
      </c>
      <c r="AM278">
        <v>0.28999999999999998</v>
      </c>
      <c r="AN278">
        <v>0.20200000000000001</v>
      </c>
      <c r="AO278">
        <v>0</v>
      </c>
      <c r="AP278">
        <v>0.25333333333333335</v>
      </c>
      <c r="AQ278">
        <v>0.17</v>
      </c>
      <c r="AR278">
        <v>0</v>
      </c>
      <c r="AT278" s="86" t="s">
        <v>2227</v>
      </c>
      <c r="BF278" t="s">
        <v>247</v>
      </c>
      <c r="BG278" s="86" t="s">
        <v>615</v>
      </c>
      <c r="BH278" s="86" t="s">
        <v>2034</v>
      </c>
      <c r="BI278" t="s">
        <v>300</v>
      </c>
      <c r="BJ278">
        <v>0</v>
      </c>
    </row>
    <row r="279" spans="1:62" ht="15.75" customHeight="1" x14ac:dyDescent="0.2">
      <c r="A279" s="100" t="s">
        <v>2218</v>
      </c>
      <c r="B279" s="103" t="s">
        <v>290</v>
      </c>
      <c r="C279" s="105" t="s">
        <v>156</v>
      </c>
      <c r="D279" s="103" t="s">
        <v>291</v>
      </c>
      <c r="E279" s="103" t="s">
        <v>231</v>
      </c>
      <c r="F279" s="103" t="s">
        <v>292</v>
      </c>
      <c r="G279" s="103" t="s">
        <v>293</v>
      </c>
      <c r="H279" s="103" t="s">
        <v>91</v>
      </c>
      <c r="I279" s="103" t="s">
        <v>2217</v>
      </c>
      <c r="J279" s="103" t="s">
        <v>294</v>
      </c>
      <c r="K279" s="103" t="s">
        <v>295</v>
      </c>
      <c r="L279" s="103" t="s">
        <v>2216</v>
      </c>
      <c r="M279" s="108" t="s">
        <v>296</v>
      </c>
      <c r="N279" s="103" t="s">
        <v>297</v>
      </c>
      <c r="O279" s="103" t="s">
        <v>298</v>
      </c>
      <c r="P279" s="103"/>
      <c r="Q279" s="103" t="s">
        <v>2170</v>
      </c>
      <c r="R279" s="103" t="s">
        <v>610</v>
      </c>
      <c r="S279" s="103">
        <v>5</v>
      </c>
      <c r="T279" s="103" t="s">
        <v>2215</v>
      </c>
      <c r="U279" s="103" t="s">
        <v>2214</v>
      </c>
      <c r="V279" s="102" t="s">
        <v>97</v>
      </c>
      <c r="W279" s="17">
        <v>0.1</v>
      </c>
      <c r="X279" s="17">
        <v>7.0000000000000007E-2</v>
      </c>
      <c r="Y279" s="17">
        <v>0.27</v>
      </c>
      <c r="Z279" s="17">
        <v>0.05</v>
      </c>
      <c r="AA279" s="18" t="b">
        <f>TRUE()</f>
        <v>1</v>
      </c>
      <c r="AB279" s="18" t="s">
        <v>246</v>
      </c>
      <c r="AC279" s="19">
        <v>0.25</v>
      </c>
      <c r="AD279" s="19">
        <v>0</v>
      </c>
      <c r="AE279" s="19">
        <v>0</v>
      </c>
      <c r="AF279" s="19">
        <v>0</v>
      </c>
      <c r="AG279" s="19">
        <v>0</v>
      </c>
      <c r="AH279" s="19">
        <v>0</v>
      </c>
      <c r="AI279" s="19">
        <v>0.75</v>
      </c>
      <c r="AJ279" s="19">
        <v>0</v>
      </c>
      <c r="AK279" s="18" t="s">
        <v>299</v>
      </c>
      <c r="AL279">
        <v>0.67</v>
      </c>
      <c r="AM279">
        <v>0.28999999999999998</v>
      </c>
      <c r="AN279">
        <f>(AW279+AZ279)/2</f>
        <v>0.33500000000000002</v>
      </c>
      <c r="AO279">
        <f>(AX279+BA279)/2</f>
        <v>0</v>
      </c>
      <c r="AP279">
        <f>(AY279+BB279)/2</f>
        <v>0.30333333333333334</v>
      </c>
      <c r="AQ279">
        <v>0.17</v>
      </c>
      <c r="AR279">
        <v>0</v>
      </c>
      <c r="AT279" s="86" t="s">
        <v>2226</v>
      </c>
      <c r="AW279">
        <v>0.5</v>
      </c>
      <c r="AX279">
        <v>0</v>
      </c>
      <c r="AY279">
        <v>0.33</v>
      </c>
      <c r="AZ279">
        <v>0.17</v>
      </c>
      <c r="BA279">
        <v>0</v>
      </c>
      <c r="BB279">
        <f>(0.33*2+0.17)/3</f>
        <v>0.27666666666666667</v>
      </c>
      <c r="BF279" t="s">
        <v>247</v>
      </c>
      <c r="BG279" s="86" t="s">
        <v>615</v>
      </c>
      <c r="BH279" s="86" t="s">
        <v>2034</v>
      </c>
      <c r="BI279" t="s">
        <v>300</v>
      </c>
      <c r="BJ279">
        <v>0</v>
      </c>
    </row>
    <row r="280" spans="1:62" ht="15.75" customHeight="1" x14ac:dyDescent="0.2">
      <c r="A280" s="100" t="s">
        <v>2219</v>
      </c>
      <c r="B280" s="103" t="s">
        <v>290</v>
      </c>
      <c r="C280" s="105" t="s">
        <v>156</v>
      </c>
      <c r="D280" s="103" t="s">
        <v>291</v>
      </c>
      <c r="E280" s="103" t="s">
        <v>231</v>
      </c>
      <c r="F280" s="103" t="s">
        <v>292</v>
      </c>
      <c r="G280" s="103" t="s">
        <v>293</v>
      </c>
      <c r="H280" s="103" t="s">
        <v>91</v>
      </c>
      <c r="I280" s="103" t="s">
        <v>2217</v>
      </c>
      <c r="J280" s="103" t="s">
        <v>294</v>
      </c>
      <c r="K280" s="103" t="s">
        <v>295</v>
      </c>
      <c r="L280" s="103" t="s">
        <v>2216</v>
      </c>
      <c r="M280" s="108" t="s">
        <v>296</v>
      </c>
      <c r="N280" s="103" t="s">
        <v>297</v>
      </c>
      <c r="O280" s="103" t="s">
        <v>298</v>
      </c>
      <c r="P280" s="103"/>
      <c r="Q280" s="103" t="s">
        <v>2170</v>
      </c>
      <c r="R280" s="103" t="s">
        <v>610</v>
      </c>
      <c r="S280" s="103">
        <v>5</v>
      </c>
      <c r="T280" s="103" t="s">
        <v>2215</v>
      </c>
      <c r="U280" s="103" t="s">
        <v>2214</v>
      </c>
      <c r="V280" s="102" t="s">
        <v>97</v>
      </c>
      <c r="W280" s="17">
        <v>0.1</v>
      </c>
      <c r="X280" s="17">
        <v>7.0000000000000007E-2</v>
      </c>
      <c r="Y280" s="17">
        <v>0.27</v>
      </c>
      <c r="Z280" s="17">
        <v>0.05</v>
      </c>
      <c r="AA280" s="18" t="b">
        <f>TRUE()</f>
        <v>1</v>
      </c>
      <c r="AB280" s="18" t="s">
        <v>246</v>
      </c>
      <c r="AC280" s="19">
        <v>0.25</v>
      </c>
      <c r="AD280" s="19">
        <v>0</v>
      </c>
      <c r="AE280" s="19">
        <v>0</v>
      </c>
      <c r="AF280" s="19">
        <v>0</v>
      </c>
      <c r="AG280" s="19">
        <v>0</v>
      </c>
      <c r="AH280" s="19">
        <v>0</v>
      </c>
      <c r="AI280" s="19">
        <v>0.75</v>
      </c>
      <c r="AJ280" s="19">
        <v>0</v>
      </c>
      <c r="AK280" s="18" t="s">
        <v>299</v>
      </c>
      <c r="AL280">
        <v>0.67</v>
      </c>
      <c r="AM280">
        <v>0.28999999999999998</v>
      </c>
      <c r="AN280">
        <f>(AW280+AZ280)/2</f>
        <v>0.33500000000000002</v>
      </c>
      <c r="AO280">
        <f>(AX280+BA280)/2</f>
        <v>0</v>
      </c>
      <c r="AP280">
        <f>(AY280+BB280)/2</f>
        <v>0.30333333333333334</v>
      </c>
      <c r="AQ280">
        <v>0.17</v>
      </c>
      <c r="AR280">
        <v>0</v>
      </c>
      <c r="AT280" s="86" t="s">
        <v>2226</v>
      </c>
      <c r="AW280">
        <v>0.5</v>
      </c>
      <c r="AX280">
        <v>0</v>
      </c>
      <c r="AY280">
        <v>0.33</v>
      </c>
      <c r="AZ280">
        <v>0.17</v>
      </c>
      <c r="BA280">
        <v>0</v>
      </c>
      <c r="BB280">
        <f>(0.33*2+0.17)/3</f>
        <v>0.27666666666666667</v>
      </c>
      <c r="BF280" t="s">
        <v>247</v>
      </c>
      <c r="BG280" s="86" t="s">
        <v>615</v>
      </c>
      <c r="BH280" s="86" t="s">
        <v>2034</v>
      </c>
      <c r="BI280" t="s">
        <v>300</v>
      </c>
      <c r="BJ280">
        <v>0</v>
      </c>
    </row>
    <row r="281" spans="1:62" ht="15.75" customHeight="1" x14ac:dyDescent="0.2">
      <c r="A281" s="100" t="s">
        <v>2220</v>
      </c>
      <c r="B281" s="103" t="s">
        <v>290</v>
      </c>
      <c r="C281" s="105" t="s">
        <v>156</v>
      </c>
      <c r="D281" s="103" t="s">
        <v>291</v>
      </c>
      <c r="E281" s="103" t="s">
        <v>231</v>
      </c>
      <c r="F281" s="103" t="s">
        <v>292</v>
      </c>
      <c r="G281" s="103" t="s">
        <v>293</v>
      </c>
      <c r="H281" s="103" t="s">
        <v>91</v>
      </c>
      <c r="I281" s="103" t="s">
        <v>2217</v>
      </c>
      <c r="J281" s="103" t="s">
        <v>294</v>
      </c>
      <c r="K281" s="103" t="s">
        <v>295</v>
      </c>
      <c r="L281" s="103" t="s">
        <v>2216</v>
      </c>
      <c r="M281" s="108" t="s">
        <v>296</v>
      </c>
      <c r="N281" s="103" t="s">
        <v>297</v>
      </c>
      <c r="O281" s="103" t="s">
        <v>298</v>
      </c>
      <c r="P281" s="103"/>
      <c r="Q281" s="103" t="s">
        <v>2170</v>
      </c>
      <c r="R281" s="103" t="s">
        <v>610</v>
      </c>
      <c r="S281" s="103">
        <v>5</v>
      </c>
      <c r="T281" s="103" t="s">
        <v>2215</v>
      </c>
      <c r="U281" s="103" t="s">
        <v>2214</v>
      </c>
      <c r="V281" s="102" t="s">
        <v>97</v>
      </c>
      <c r="W281" s="17">
        <v>0.1</v>
      </c>
      <c r="X281" s="17">
        <v>7.0000000000000007E-2</v>
      </c>
      <c r="Y281" s="17">
        <v>0.27</v>
      </c>
      <c r="Z281" s="17">
        <v>0.05</v>
      </c>
      <c r="AA281" s="18" t="b">
        <f>TRUE()</f>
        <v>1</v>
      </c>
      <c r="AB281" s="18" t="s">
        <v>246</v>
      </c>
      <c r="AC281" s="19">
        <v>0.25</v>
      </c>
      <c r="AD281" s="19">
        <v>0</v>
      </c>
      <c r="AE281" s="19">
        <v>0</v>
      </c>
      <c r="AF281" s="19">
        <v>0</v>
      </c>
      <c r="AG281" s="19">
        <v>0</v>
      </c>
      <c r="AH281" s="19">
        <v>0</v>
      </c>
      <c r="AI281" s="19">
        <v>0.75</v>
      </c>
      <c r="AJ281" s="19">
        <v>0</v>
      </c>
      <c r="AK281" s="18" t="s">
        <v>299</v>
      </c>
      <c r="AL281">
        <v>0.67</v>
      </c>
      <c r="AM281">
        <v>0.28999999999999998</v>
      </c>
      <c r="AN281">
        <v>0.17</v>
      </c>
      <c r="AO281">
        <v>0</v>
      </c>
      <c r="AP281">
        <v>0.33</v>
      </c>
      <c r="AQ281">
        <v>0.17</v>
      </c>
      <c r="AR281">
        <v>0</v>
      </c>
      <c r="AT281" s="86" t="s">
        <v>2225</v>
      </c>
      <c r="BF281" t="s">
        <v>247</v>
      </c>
      <c r="BG281" s="86" t="s">
        <v>615</v>
      </c>
      <c r="BH281" s="86" t="s">
        <v>2034</v>
      </c>
      <c r="BI281" t="s">
        <v>300</v>
      </c>
      <c r="BJ281">
        <v>0</v>
      </c>
    </row>
    <row r="282" spans="1:62" ht="15.75" customHeight="1" x14ac:dyDescent="0.2">
      <c r="A282" s="100" t="s">
        <v>2221</v>
      </c>
      <c r="B282" s="103" t="s">
        <v>290</v>
      </c>
      <c r="C282" s="105" t="s">
        <v>156</v>
      </c>
      <c r="D282" s="103" t="s">
        <v>291</v>
      </c>
      <c r="E282" s="103" t="s">
        <v>231</v>
      </c>
      <c r="F282" s="103" t="s">
        <v>292</v>
      </c>
      <c r="G282" s="103" t="s">
        <v>293</v>
      </c>
      <c r="H282" s="103" t="s">
        <v>91</v>
      </c>
      <c r="I282" s="103" t="s">
        <v>2217</v>
      </c>
      <c r="J282" s="103" t="s">
        <v>294</v>
      </c>
      <c r="K282" s="103" t="s">
        <v>295</v>
      </c>
      <c r="L282" s="103" t="s">
        <v>2216</v>
      </c>
      <c r="M282" s="108" t="s">
        <v>296</v>
      </c>
      <c r="N282" s="103" t="s">
        <v>297</v>
      </c>
      <c r="O282" s="103" t="s">
        <v>298</v>
      </c>
      <c r="P282" s="103"/>
      <c r="Q282" s="103" t="s">
        <v>2170</v>
      </c>
      <c r="R282" s="103" t="s">
        <v>610</v>
      </c>
      <c r="S282" s="103">
        <v>5</v>
      </c>
      <c r="T282" s="103" t="s">
        <v>2215</v>
      </c>
      <c r="U282" s="103" t="s">
        <v>2214</v>
      </c>
      <c r="V282" s="102" t="s">
        <v>97</v>
      </c>
      <c r="W282" s="17">
        <v>0.1</v>
      </c>
      <c r="X282" s="17">
        <v>7.0000000000000007E-2</v>
      </c>
      <c r="Y282" s="17">
        <v>0.27</v>
      </c>
      <c r="Z282" s="17">
        <v>0.05</v>
      </c>
      <c r="AA282" s="18" t="b">
        <f>TRUE()</f>
        <v>1</v>
      </c>
      <c r="AB282" s="18" t="s">
        <v>246</v>
      </c>
      <c r="AC282" s="19">
        <v>0.25</v>
      </c>
      <c r="AD282" s="19">
        <v>0</v>
      </c>
      <c r="AE282" s="19">
        <v>0</v>
      </c>
      <c r="AF282" s="19">
        <v>0</v>
      </c>
      <c r="AG282" s="19">
        <v>0</v>
      </c>
      <c r="AH282" s="19">
        <v>0</v>
      </c>
      <c r="AI282" s="19">
        <v>0.75</v>
      </c>
      <c r="AJ282" s="19">
        <v>0</v>
      </c>
      <c r="AK282" s="18" t="s">
        <v>299</v>
      </c>
      <c r="AL282">
        <v>0.67</v>
      </c>
      <c r="AM282">
        <v>0.28999999999999998</v>
      </c>
      <c r="AN282">
        <v>0.17</v>
      </c>
      <c r="AO282">
        <v>0</v>
      </c>
      <c r="AP282">
        <v>0.33</v>
      </c>
      <c r="AQ282">
        <v>0.17</v>
      </c>
      <c r="AR282">
        <v>0</v>
      </c>
      <c r="AT282" t="s">
        <v>2225</v>
      </c>
      <c r="BF282" t="s">
        <v>247</v>
      </c>
      <c r="BG282" s="86" t="s">
        <v>615</v>
      </c>
      <c r="BH282" s="86" t="s">
        <v>2034</v>
      </c>
      <c r="BI282" t="s">
        <v>300</v>
      </c>
      <c r="BJ282">
        <v>0</v>
      </c>
    </row>
    <row r="283" spans="1:62" ht="15.75" customHeight="1" x14ac:dyDescent="0.2">
      <c r="A283" s="100" t="s">
        <v>2222</v>
      </c>
      <c r="B283" s="103" t="s">
        <v>290</v>
      </c>
      <c r="C283" s="105" t="s">
        <v>156</v>
      </c>
      <c r="D283" s="103" t="s">
        <v>291</v>
      </c>
      <c r="E283" s="103" t="s">
        <v>231</v>
      </c>
      <c r="F283" s="103" t="s">
        <v>292</v>
      </c>
      <c r="G283" s="103" t="s">
        <v>293</v>
      </c>
      <c r="H283" s="103" t="s">
        <v>91</v>
      </c>
      <c r="I283" s="103" t="s">
        <v>2217</v>
      </c>
      <c r="J283" s="103" t="s">
        <v>294</v>
      </c>
      <c r="K283" s="103" t="s">
        <v>295</v>
      </c>
      <c r="L283" s="103" t="s">
        <v>2216</v>
      </c>
      <c r="M283" s="108" t="s">
        <v>296</v>
      </c>
      <c r="N283" s="103" t="s">
        <v>297</v>
      </c>
      <c r="O283" s="103" t="s">
        <v>298</v>
      </c>
      <c r="P283" s="103"/>
      <c r="Q283" s="103" t="s">
        <v>2170</v>
      </c>
      <c r="R283" s="103" t="s">
        <v>610</v>
      </c>
      <c r="S283" s="103">
        <v>5</v>
      </c>
      <c r="T283" s="103" t="s">
        <v>2215</v>
      </c>
      <c r="U283" s="103" t="s">
        <v>2214</v>
      </c>
      <c r="V283" s="102" t="s">
        <v>97</v>
      </c>
      <c r="W283" s="17">
        <v>0.1</v>
      </c>
      <c r="X283" s="17">
        <v>7.0000000000000007E-2</v>
      </c>
      <c r="Y283" s="17">
        <v>0.27</v>
      </c>
      <c r="Z283" s="17">
        <v>0.05</v>
      </c>
      <c r="AA283" s="18" t="b">
        <f>TRUE()</f>
        <v>1</v>
      </c>
      <c r="AB283" s="18" t="s">
        <v>246</v>
      </c>
      <c r="AC283" s="19">
        <v>0.25</v>
      </c>
      <c r="AD283" s="19">
        <v>0</v>
      </c>
      <c r="AE283" s="19">
        <v>0</v>
      </c>
      <c r="AF283" s="19">
        <v>0</v>
      </c>
      <c r="AG283" s="19">
        <v>0</v>
      </c>
      <c r="AH283" s="19">
        <v>0</v>
      </c>
      <c r="AI283" s="19">
        <v>0.75</v>
      </c>
      <c r="AJ283" s="19">
        <v>0</v>
      </c>
      <c r="AK283" s="18" t="s">
        <v>299</v>
      </c>
      <c r="AL283">
        <v>0.67</v>
      </c>
      <c r="AM283">
        <v>0.28999999999999998</v>
      </c>
      <c r="AN283">
        <v>0</v>
      </c>
      <c r="AO283">
        <v>0</v>
      </c>
      <c r="AP283">
        <v>0</v>
      </c>
      <c r="AQ283">
        <v>0.17</v>
      </c>
      <c r="AR283">
        <v>0</v>
      </c>
      <c r="AT283" s="86" t="s">
        <v>2224</v>
      </c>
      <c r="BF283" t="s">
        <v>247</v>
      </c>
      <c r="BG283" s="86" t="s">
        <v>615</v>
      </c>
      <c r="BH283" s="86" t="s">
        <v>2034</v>
      </c>
      <c r="BI283" t="s">
        <v>300</v>
      </c>
      <c r="BJ283">
        <v>0</v>
      </c>
    </row>
    <row r="284" spans="1:62" ht="15.75" customHeight="1" x14ac:dyDescent="0.2">
      <c r="A284" s="100" t="s">
        <v>2106</v>
      </c>
      <c r="B284" s="103" t="s">
        <v>1223</v>
      </c>
      <c r="C284" s="44">
        <v>2018</v>
      </c>
      <c r="D284" s="103" t="s">
        <v>1224</v>
      </c>
      <c r="E284" s="2" t="s">
        <v>1225</v>
      </c>
      <c r="F284" s="103" t="s">
        <v>843</v>
      </c>
      <c r="G284" s="103" t="s">
        <v>293</v>
      </c>
      <c r="H284" s="103" t="s">
        <v>91</v>
      </c>
      <c r="I284" s="103" t="s">
        <v>1226</v>
      </c>
      <c r="J284" s="103" t="s">
        <v>1227</v>
      </c>
      <c r="K284" s="103" t="s">
        <v>295</v>
      </c>
      <c r="L284" s="28" t="s">
        <v>1228</v>
      </c>
      <c r="M284" s="45" t="s">
        <v>1229</v>
      </c>
      <c r="N284" s="103" t="s">
        <v>235</v>
      </c>
      <c r="O284" s="28" t="s">
        <v>377</v>
      </c>
      <c r="P284" s="28"/>
      <c r="Q284" s="102" t="s">
        <v>113</v>
      </c>
      <c r="R284" s="102" t="s">
        <v>610</v>
      </c>
      <c r="S284" s="103">
        <v>4</v>
      </c>
      <c r="T284" s="28" t="s">
        <v>1230</v>
      </c>
      <c r="U284" s="28" t="s">
        <v>1231</v>
      </c>
      <c r="V284" s="102" t="s">
        <v>97</v>
      </c>
      <c r="W284" s="17">
        <v>0.53</v>
      </c>
      <c r="X284" s="17">
        <v>0.43</v>
      </c>
      <c r="Y284" s="17">
        <v>0.47</v>
      </c>
      <c r="Z284" s="17">
        <v>0.15</v>
      </c>
      <c r="AA284" s="18" t="b">
        <f>TRUE()</f>
        <v>1</v>
      </c>
      <c r="AB284" s="18" t="s">
        <v>246</v>
      </c>
      <c r="AC284" s="19">
        <v>7.9000000000000001E-2</v>
      </c>
      <c r="AD284" s="19">
        <v>0</v>
      </c>
      <c r="AE284" s="19">
        <v>5.2999999999999999E-2</v>
      </c>
      <c r="AF284" s="19">
        <v>0</v>
      </c>
      <c r="AG284" s="19">
        <v>0</v>
      </c>
      <c r="AH284" s="19">
        <v>0.105</v>
      </c>
      <c r="AI284" s="19">
        <v>0.76300000000000001</v>
      </c>
      <c r="AJ284" s="19">
        <v>0</v>
      </c>
      <c r="AK284" s="18" t="s">
        <v>299</v>
      </c>
      <c r="AL284" s="19">
        <v>0.67</v>
      </c>
      <c r="AM284" s="19">
        <v>0.71</v>
      </c>
      <c r="AN284" s="19">
        <v>0.29249999999999998</v>
      </c>
      <c r="AO284" s="19">
        <v>0</v>
      </c>
      <c r="AP284" s="19">
        <v>0.5</v>
      </c>
      <c r="AQ284" s="19">
        <v>0.67</v>
      </c>
      <c r="AR284" s="19">
        <v>0.28999999999999998</v>
      </c>
      <c r="AS284" s="2" t="s">
        <v>295</v>
      </c>
      <c r="AT284" s="2" t="s">
        <v>1232</v>
      </c>
      <c r="AU284" s="50" t="s">
        <v>1233</v>
      </c>
      <c r="AV284" s="50" t="s">
        <v>1234</v>
      </c>
      <c r="AW284">
        <f>1/6.5</f>
        <v>0.15384615384615385</v>
      </c>
      <c r="AX284">
        <v>0</v>
      </c>
      <c r="AY284">
        <v>0.5</v>
      </c>
      <c r="AZ284">
        <f>1/2</f>
        <v>0.5</v>
      </c>
      <c r="BA284">
        <v>0</v>
      </c>
      <c r="BB284">
        <v>0.5</v>
      </c>
      <c r="BF284" t="s">
        <v>247</v>
      </c>
      <c r="BG284" t="s">
        <v>615</v>
      </c>
      <c r="BH284" s="86" t="s">
        <v>2034</v>
      </c>
      <c r="BI284" t="s">
        <v>1235</v>
      </c>
    </row>
    <row r="285" spans="1:62" ht="15.75" customHeight="1" x14ac:dyDescent="0.2">
      <c r="A285" s="51" t="s">
        <v>2107</v>
      </c>
      <c r="B285" s="28" t="s">
        <v>1223</v>
      </c>
      <c r="C285" s="44">
        <v>2018</v>
      </c>
      <c r="D285" s="28" t="s">
        <v>1224</v>
      </c>
      <c r="E285" s="2" t="s">
        <v>1225</v>
      </c>
      <c r="F285" s="28" t="s">
        <v>843</v>
      </c>
      <c r="G285" s="28" t="s">
        <v>293</v>
      </c>
      <c r="H285" s="28" t="s">
        <v>91</v>
      </c>
      <c r="I285" s="28" t="s">
        <v>1578</v>
      </c>
      <c r="J285" s="28" t="s">
        <v>1227</v>
      </c>
      <c r="K285" s="28" t="s">
        <v>295</v>
      </c>
      <c r="L285" s="28" t="s">
        <v>1579</v>
      </c>
      <c r="M285" s="45" t="s">
        <v>1229</v>
      </c>
      <c r="N285" s="28" t="s">
        <v>235</v>
      </c>
      <c r="O285" s="28" t="s">
        <v>377</v>
      </c>
      <c r="P285" s="28"/>
      <c r="Q285" s="35" t="s">
        <v>113</v>
      </c>
      <c r="R285" s="35" t="s">
        <v>610</v>
      </c>
      <c r="S285" s="28">
        <v>4</v>
      </c>
      <c r="T285" s="28" t="s">
        <v>1230</v>
      </c>
      <c r="U285" s="28" t="s">
        <v>1231</v>
      </c>
      <c r="V285" s="102" t="s">
        <v>97</v>
      </c>
      <c r="W285" s="17">
        <v>0.53</v>
      </c>
      <c r="X285" s="17">
        <v>0.43</v>
      </c>
      <c r="Y285" s="17">
        <v>0.47</v>
      </c>
      <c r="Z285" s="17">
        <v>0.15</v>
      </c>
      <c r="AA285" s="18" t="b">
        <f>TRUE()</f>
        <v>1</v>
      </c>
      <c r="AB285" s="18" t="s">
        <v>246</v>
      </c>
      <c r="AC285" s="19">
        <v>7.9000000000000001E-2</v>
      </c>
      <c r="AD285" s="19">
        <v>0</v>
      </c>
      <c r="AE285" s="19">
        <v>5.2999999999999999E-2</v>
      </c>
      <c r="AF285" s="19">
        <v>0</v>
      </c>
      <c r="AG285" s="19">
        <v>0</v>
      </c>
      <c r="AH285" s="19">
        <v>0.105</v>
      </c>
      <c r="AI285" s="19">
        <v>0.76300000000000001</v>
      </c>
      <c r="AJ285" s="19">
        <v>0</v>
      </c>
      <c r="AK285" s="18" t="s">
        <v>299</v>
      </c>
      <c r="AL285" s="19">
        <v>0.83</v>
      </c>
      <c r="AM285" s="19">
        <v>0.71</v>
      </c>
      <c r="AN285" s="19">
        <v>0.29249999999999998</v>
      </c>
      <c r="AO285" s="19">
        <v>0</v>
      </c>
      <c r="AP285" s="19">
        <v>0.5</v>
      </c>
      <c r="AQ285" s="19">
        <v>0.67</v>
      </c>
      <c r="AR285" s="19">
        <v>0.28999999999999998</v>
      </c>
      <c r="AS285" s="2" t="s">
        <v>295</v>
      </c>
      <c r="AT285" s="2"/>
      <c r="AU285" s="50" t="s">
        <v>1233</v>
      </c>
      <c r="AV285" s="2" t="s">
        <v>1580</v>
      </c>
      <c r="AW285">
        <f>1/8</f>
        <v>0.125</v>
      </c>
      <c r="AX285">
        <v>0</v>
      </c>
      <c r="AY285">
        <v>0.5</v>
      </c>
      <c r="BF285" t="s">
        <v>247</v>
      </c>
      <c r="BG285" t="s">
        <v>615</v>
      </c>
      <c r="BH285" s="86" t="s">
        <v>2034</v>
      </c>
    </row>
    <row r="286" spans="1:62" ht="15.75" customHeight="1" x14ac:dyDescent="0.2">
      <c r="A286" s="100" t="s">
        <v>2108</v>
      </c>
      <c r="B286" s="103" t="s">
        <v>1223</v>
      </c>
      <c r="C286" s="106">
        <v>2018</v>
      </c>
      <c r="D286" s="103" t="s">
        <v>1224</v>
      </c>
      <c r="E286" s="99" t="s">
        <v>1225</v>
      </c>
      <c r="F286" s="103" t="s">
        <v>843</v>
      </c>
      <c r="G286" s="103" t="s">
        <v>293</v>
      </c>
      <c r="H286" s="103" t="s">
        <v>91</v>
      </c>
      <c r="I286" s="103" t="s">
        <v>1578</v>
      </c>
      <c r="J286" s="103" t="s">
        <v>1227</v>
      </c>
      <c r="K286" s="103" t="s">
        <v>295</v>
      </c>
      <c r="L286" s="103" t="s">
        <v>1579</v>
      </c>
      <c r="M286" s="108" t="s">
        <v>1229</v>
      </c>
      <c r="N286" s="103" t="s">
        <v>235</v>
      </c>
      <c r="O286" s="103" t="s">
        <v>377</v>
      </c>
      <c r="P286" s="103"/>
      <c r="Q286" s="102" t="s">
        <v>113</v>
      </c>
      <c r="R286" s="102" t="s">
        <v>610</v>
      </c>
      <c r="S286" s="103">
        <v>4</v>
      </c>
      <c r="T286" s="103" t="s">
        <v>1230</v>
      </c>
      <c r="U286" s="103" t="s">
        <v>1231</v>
      </c>
      <c r="V286" s="102" t="s">
        <v>97</v>
      </c>
      <c r="W286" s="17">
        <v>0.53</v>
      </c>
      <c r="X286" s="17">
        <v>0.43</v>
      </c>
      <c r="Y286" s="17">
        <v>0.47</v>
      </c>
      <c r="Z286" s="17">
        <v>0.15</v>
      </c>
      <c r="AA286" s="18" t="b">
        <f>TRUE()</f>
        <v>1</v>
      </c>
      <c r="AB286" s="18" t="s">
        <v>246</v>
      </c>
      <c r="AC286" s="19">
        <v>7.9000000000000001E-2</v>
      </c>
      <c r="AD286" s="19">
        <v>0</v>
      </c>
      <c r="AE286" s="19">
        <v>5.2999999999999999E-2</v>
      </c>
      <c r="AF286" s="19">
        <v>0</v>
      </c>
      <c r="AG286" s="19">
        <v>0</v>
      </c>
      <c r="AH286" s="19">
        <v>0.105</v>
      </c>
      <c r="AI286" s="19">
        <v>0.76300000000000001</v>
      </c>
      <c r="AJ286" s="19">
        <v>0</v>
      </c>
      <c r="AK286" s="18" t="s">
        <v>299</v>
      </c>
      <c r="AL286" s="19">
        <v>0.83</v>
      </c>
      <c r="AM286" s="19">
        <v>0.71</v>
      </c>
      <c r="AN286" s="19">
        <v>0.29249999999999998</v>
      </c>
      <c r="AO286" s="19">
        <v>0</v>
      </c>
      <c r="AP286" s="19">
        <v>0.5</v>
      </c>
      <c r="AQ286" s="19">
        <v>0.67</v>
      </c>
      <c r="AR286" s="19">
        <v>0.28999999999999998</v>
      </c>
      <c r="AS286" s="2" t="s">
        <v>295</v>
      </c>
      <c r="AT286" s="2"/>
      <c r="AU286" s="50" t="s">
        <v>1233</v>
      </c>
      <c r="AV286" s="2" t="s">
        <v>1581</v>
      </c>
      <c r="AW286">
        <f>1/23</f>
        <v>4.3478260869565216E-2</v>
      </c>
      <c r="AX286">
        <v>0</v>
      </c>
      <c r="AY286">
        <v>0.5</v>
      </c>
      <c r="AZ286">
        <v>0.5</v>
      </c>
      <c r="BA286">
        <v>0</v>
      </c>
      <c r="BB286" s="2">
        <f>(0.5+0.3+0.3)/2</f>
        <v>0.55000000000000004</v>
      </c>
      <c r="BC286" s="2"/>
      <c r="BD286" s="2"/>
      <c r="BE286" s="2"/>
      <c r="BF286" t="s">
        <v>247</v>
      </c>
      <c r="BG286" t="s">
        <v>615</v>
      </c>
      <c r="BH286" s="86" t="s">
        <v>2034</v>
      </c>
    </row>
    <row r="287" spans="1:62" ht="15.75" customHeight="1" x14ac:dyDescent="0.2">
      <c r="A287" s="2" t="s">
        <v>1982</v>
      </c>
      <c r="B287" s="2" t="s">
        <v>1984</v>
      </c>
      <c r="C287" s="2">
        <v>1997</v>
      </c>
      <c r="D287" s="2" t="s">
        <v>1983</v>
      </c>
      <c r="E287" s="2" t="s">
        <v>1985</v>
      </c>
      <c r="F287" s="2" t="s">
        <v>1985</v>
      </c>
      <c r="G287" s="2"/>
      <c r="H287" s="2"/>
      <c r="I287" s="2"/>
      <c r="J287" s="2"/>
      <c r="K287" s="2"/>
      <c r="L287" s="2"/>
      <c r="M287" s="2"/>
      <c r="N287" s="2" t="s">
        <v>323</v>
      </c>
      <c r="O287" s="2" t="s">
        <v>1986</v>
      </c>
      <c r="P287" s="2"/>
      <c r="Q287" s="2" t="s">
        <v>822</v>
      </c>
      <c r="R287" s="2"/>
      <c r="S287" s="2"/>
      <c r="T287" s="2" t="s">
        <v>1987</v>
      </c>
      <c r="U287" s="50" t="s">
        <v>1988</v>
      </c>
      <c r="V287" s="2"/>
    </row>
    <row r="288" spans="1:62" ht="30" customHeight="1" x14ac:dyDescent="0.2">
      <c r="A288" s="13" t="s">
        <v>2109</v>
      </c>
      <c r="B288" s="14" t="s">
        <v>1223</v>
      </c>
      <c r="C288" s="24">
        <v>2018</v>
      </c>
      <c r="D288" s="14" t="s">
        <v>1224</v>
      </c>
      <c r="E288" s="25" t="s">
        <v>1225</v>
      </c>
      <c r="F288" s="14" t="s">
        <v>843</v>
      </c>
      <c r="G288" s="14" t="s">
        <v>293</v>
      </c>
      <c r="H288" s="14" t="s">
        <v>91</v>
      </c>
      <c r="I288" s="14" t="s">
        <v>1578</v>
      </c>
      <c r="J288" s="14" t="s">
        <v>1227</v>
      </c>
      <c r="K288" s="14" t="s">
        <v>295</v>
      </c>
      <c r="L288" s="14" t="s">
        <v>1579</v>
      </c>
      <c r="M288" s="16" t="s">
        <v>1229</v>
      </c>
      <c r="N288" s="14" t="s">
        <v>235</v>
      </c>
      <c r="O288" s="14" t="s">
        <v>377</v>
      </c>
      <c r="P288" s="14"/>
      <c r="Q288" s="21" t="s">
        <v>113</v>
      </c>
      <c r="R288" s="21" t="s">
        <v>610</v>
      </c>
      <c r="S288" s="14">
        <v>4</v>
      </c>
      <c r="T288" s="14" t="s">
        <v>1230</v>
      </c>
      <c r="U288" s="14" t="s">
        <v>1231</v>
      </c>
      <c r="V288" s="21" t="s">
        <v>97</v>
      </c>
      <c r="W288" s="17">
        <v>0.53</v>
      </c>
      <c r="X288" s="17">
        <v>0.43</v>
      </c>
      <c r="Y288" s="17">
        <v>0.47</v>
      </c>
      <c r="Z288" s="17">
        <v>0.15</v>
      </c>
      <c r="AA288" s="18" t="b">
        <f>TRUE()</f>
        <v>1</v>
      </c>
      <c r="AB288" s="18" t="s">
        <v>246</v>
      </c>
      <c r="AC288" s="19">
        <v>7.9000000000000001E-2</v>
      </c>
      <c r="AD288" s="19">
        <v>0</v>
      </c>
      <c r="AE288" s="19">
        <v>5.2999999999999999E-2</v>
      </c>
      <c r="AF288" s="19">
        <v>0</v>
      </c>
      <c r="AG288" s="19">
        <v>0</v>
      </c>
      <c r="AH288" s="19">
        <v>0.105</v>
      </c>
      <c r="AI288" s="19">
        <v>0.76300000000000001</v>
      </c>
      <c r="AJ288" s="19">
        <v>0</v>
      </c>
      <c r="AK288" s="18" t="s">
        <v>299</v>
      </c>
      <c r="AL288" s="19">
        <v>0.83</v>
      </c>
      <c r="AM288" s="19">
        <v>0.71</v>
      </c>
      <c r="AN288" s="19">
        <v>0.29249999999999998</v>
      </c>
      <c r="AO288" s="19">
        <v>0</v>
      </c>
      <c r="AP288" s="19">
        <v>0.5</v>
      </c>
      <c r="AQ288" s="19">
        <v>0.67</v>
      </c>
      <c r="AR288" s="19">
        <v>0.28999999999999998</v>
      </c>
      <c r="AS288" s="2" t="s">
        <v>295</v>
      </c>
      <c r="AT288" s="2"/>
      <c r="AU288" s="50" t="s">
        <v>1233</v>
      </c>
      <c r="AV288" s="2" t="s">
        <v>1582</v>
      </c>
      <c r="AW288">
        <f>1/12</f>
        <v>8.3333333333333329E-2</v>
      </c>
      <c r="AX288">
        <v>0</v>
      </c>
      <c r="AY288">
        <v>0.5</v>
      </c>
      <c r="AZ288">
        <f>4/32</f>
        <v>0.125</v>
      </c>
      <c r="BA288">
        <v>0</v>
      </c>
      <c r="BB288">
        <f>0.67</f>
        <v>0.67</v>
      </c>
      <c r="BF288" t="s">
        <v>247</v>
      </c>
      <c r="BG288" t="s">
        <v>615</v>
      </c>
      <c r="BH288" s="86" t="s">
        <v>2034</v>
      </c>
    </row>
    <row r="289" spans="1:62" ht="15.75" customHeight="1" x14ac:dyDescent="0.2">
      <c r="A289" s="51" t="s">
        <v>704</v>
      </c>
      <c r="B289" s="28" t="s">
        <v>705</v>
      </c>
      <c r="C289" s="90" t="s">
        <v>431</v>
      </c>
      <c r="D289" s="28" t="s">
        <v>706</v>
      </c>
      <c r="E289" s="28" t="s">
        <v>524</v>
      </c>
      <c r="F289" s="28" t="s">
        <v>588</v>
      </c>
      <c r="G289" s="28" t="s">
        <v>131</v>
      </c>
      <c r="H289" s="28" t="s">
        <v>91</v>
      </c>
      <c r="I289" s="28"/>
      <c r="J289" s="28" t="s">
        <v>132</v>
      </c>
      <c r="K289" s="28" t="s">
        <v>693</v>
      </c>
      <c r="L289" s="28"/>
      <c r="M289" s="45" t="s">
        <v>707</v>
      </c>
      <c r="N289" s="28" t="s">
        <v>199</v>
      </c>
      <c r="O289" s="28" t="s">
        <v>556</v>
      </c>
      <c r="P289" s="28"/>
      <c r="Q289" s="28"/>
      <c r="R289" s="28"/>
      <c r="S289" s="28">
        <v>4</v>
      </c>
      <c r="T289" s="28"/>
      <c r="U289" s="28"/>
      <c r="V289" s="28" t="s">
        <v>97</v>
      </c>
      <c r="W289" s="17">
        <v>0.76</v>
      </c>
      <c r="X289" s="17">
        <v>0.62</v>
      </c>
      <c r="Y289" s="17">
        <v>0.52</v>
      </c>
      <c r="Z289" s="17">
        <v>0.83</v>
      </c>
      <c r="AA289" s="18" t="b">
        <f>FALSE()</f>
        <v>0</v>
      </c>
      <c r="AB289" s="18" t="s">
        <v>98</v>
      </c>
      <c r="AC289" s="19">
        <v>0</v>
      </c>
      <c r="AD289" s="19">
        <v>0</v>
      </c>
      <c r="AE289" s="19">
        <v>0.13300000000000001</v>
      </c>
      <c r="AF289" s="19">
        <v>0.378</v>
      </c>
      <c r="AG289" s="19">
        <v>0.33300000000000002</v>
      </c>
      <c r="AH289" s="19">
        <v>8.8999999999999996E-2</v>
      </c>
      <c r="AI289" s="19">
        <v>0</v>
      </c>
      <c r="AJ289" s="19">
        <v>6.7000000000000004E-2</v>
      </c>
      <c r="AK289" s="18" t="s">
        <v>442</v>
      </c>
      <c r="BF289" t="s">
        <v>99</v>
      </c>
      <c r="BH289" t="s">
        <v>100</v>
      </c>
      <c r="BI289" t="s">
        <v>101</v>
      </c>
    </row>
    <row r="290" spans="1:62" ht="15.75" customHeight="1" x14ac:dyDescent="0.2">
      <c r="A290" s="98" t="s">
        <v>1372</v>
      </c>
      <c r="B290" s="102" t="s">
        <v>1223</v>
      </c>
      <c r="C290" s="113">
        <v>2019</v>
      </c>
      <c r="D290" s="102" t="s">
        <v>1373</v>
      </c>
      <c r="E290" s="102" t="s">
        <v>788</v>
      </c>
      <c r="F290" s="21" t="s">
        <v>843</v>
      </c>
      <c r="G290" s="102" t="s">
        <v>293</v>
      </c>
      <c r="H290" s="102" t="s">
        <v>91</v>
      </c>
      <c r="I290" s="102" t="s">
        <v>2112</v>
      </c>
      <c r="J290" s="21" t="s">
        <v>1374</v>
      </c>
      <c r="K290" s="21" t="s">
        <v>295</v>
      </c>
      <c r="L290" s="102" t="s">
        <v>2114</v>
      </c>
      <c r="M290" s="109" t="s">
        <v>2114</v>
      </c>
      <c r="N290" s="21" t="s">
        <v>235</v>
      </c>
      <c r="O290" s="102" t="s">
        <v>1375</v>
      </c>
      <c r="P290" s="102"/>
      <c r="Q290" s="102" t="s">
        <v>113</v>
      </c>
      <c r="R290" s="102" t="s">
        <v>610</v>
      </c>
      <c r="S290" s="102">
        <v>4</v>
      </c>
      <c r="T290" s="102" t="s">
        <v>2111</v>
      </c>
      <c r="U290" s="102" t="s">
        <v>2110</v>
      </c>
      <c r="V290" s="102" t="s">
        <v>97</v>
      </c>
      <c r="W290" s="17">
        <v>0.53</v>
      </c>
      <c r="X290" s="17">
        <v>0.43</v>
      </c>
      <c r="Y290" s="17">
        <v>0.47</v>
      </c>
      <c r="Z290" s="17">
        <v>0.15</v>
      </c>
      <c r="AA290" s="18" t="b">
        <f>TRUE()</f>
        <v>1</v>
      </c>
      <c r="AB290" s="18" t="s">
        <v>246</v>
      </c>
      <c r="AC290" s="19">
        <v>7.9000000000000001E-2</v>
      </c>
      <c r="AD290" s="19">
        <v>0</v>
      </c>
      <c r="AE290" s="19">
        <v>5.2999999999999999E-2</v>
      </c>
      <c r="AF290" s="19">
        <v>0</v>
      </c>
      <c r="AG290" s="19">
        <v>0</v>
      </c>
      <c r="AH290" s="19">
        <v>0.105</v>
      </c>
      <c r="AI290" s="19">
        <v>0.76300000000000001</v>
      </c>
      <c r="AJ290" s="19">
        <v>0</v>
      </c>
      <c r="AK290" s="18" t="s">
        <v>299</v>
      </c>
      <c r="AL290" s="19">
        <v>0.67</v>
      </c>
      <c r="AM290" s="19">
        <v>0.71</v>
      </c>
      <c r="AN290" s="19">
        <f>(0.33+0.17*2+0.5)/4</f>
        <v>0.29249999999999998</v>
      </c>
      <c r="AO290" s="19">
        <v>0</v>
      </c>
      <c r="AP290" s="19">
        <v>0.5</v>
      </c>
      <c r="AQ290" s="19">
        <v>0.67</v>
      </c>
      <c r="AR290" s="19">
        <v>0.28999999999999998</v>
      </c>
      <c r="AS290" s="86" t="s">
        <v>295</v>
      </c>
      <c r="AT290" s="86" t="s">
        <v>2113</v>
      </c>
      <c r="BF290" t="s">
        <v>247</v>
      </c>
      <c r="BG290" t="s">
        <v>615</v>
      </c>
      <c r="BH290" s="86" t="s">
        <v>2034</v>
      </c>
    </row>
    <row r="291" spans="1:62" ht="15.75" customHeight="1" x14ac:dyDescent="0.2">
      <c r="A291" s="2"/>
      <c r="B291" s="2" t="s">
        <v>754</v>
      </c>
      <c r="C291" s="2">
        <v>2012</v>
      </c>
      <c r="D291" s="2" t="s">
        <v>2013</v>
      </c>
      <c r="E291" s="2"/>
      <c r="F291" s="2"/>
      <c r="G291" s="2"/>
      <c r="H291" s="2"/>
      <c r="I291" s="2"/>
      <c r="J291" s="2"/>
      <c r="K291" s="2"/>
      <c r="L291" s="2"/>
      <c r="M291" s="2"/>
      <c r="N291" s="2"/>
      <c r="O291" s="2"/>
      <c r="P291" s="2"/>
      <c r="Q291" s="2"/>
      <c r="R291" s="2"/>
      <c r="S291" s="2"/>
      <c r="T291" s="2"/>
      <c r="U291" s="2" t="s">
        <v>2018</v>
      </c>
      <c r="V291" s="2"/>
    </row>
    <row r="292" spans="1:62" ht="15.75" customHeight="1" x14ac:dyDescent="0.2">
      <c r="A292" s="2"/>
      <c r="B292" s="89" t="s">
        <v>2015</v>
      </c>
      <c r="C292" s="2">
        <v>1997</v>
      </c>
      <c r="D292" s="2" t="s">
        <v>2014</v>
      </c>
      <c r="E292" s="2"/>
      <c r="F292" s="2"/>
      <c r="G292" s="2"/>
      <c r="H292" s="2"/>
      <c r="I292" s="2"/>
      <c r="J292" s="2"/>
      <c r="K292" s="2"/>
      <c r="L292" s="2"/>
      <c r="M292" s="2"/>
      <c r="N292" s="2"/>
      <c r="O292" s="2"/>
      <c r="P292" s="2"/>
      <c r="Q292" s="2"/>
      <c r="R292" s="2"/>
      <c r="S292" s="2"/>
      <c r="T292" s="2" t="s">
        <v>2016</v>
      </c>
      <c r="U292" s="2" t="s">
        <v>2017</v>
      </c>
      <c r="V292" s="2"/>
    </row>
    <row r="293" spans="1:62" ht="15.75" customHeight="1" x14ac:dyDescent="0.2">
      <c r="A293" s="2"/>
      <c r="B293" s="2" t="s">
        <v>2022</v>
      </c>
      <c r="C293" s="2">
        <v>2020</v>
      </c>
      <c r="D293" s="2" t="s">
        <v>2021</v>
      </c>
      <c r="E293" s="2"/>
      <c r="F293" s="2"/>
      <c r="G293" s="2"/>
      <c r="H293" s="2"/>
      <c r="I293" s="2"/>
      <c r="J293" s="2"/>
      <c r="K293" s="2"/>
      <c r="L293" s="2"/>
      <c r="M293" s="2"/>
      <c r="N293" s="2"/>
      <c r="O293" s="2"/>
      <c r="P293" s="2"/>
      <c r="Q293" s="2"/>
      <c r="R293" s="2"/>
      <c r="S293" s="2"/>
      <c r="T293" s="2" t="s">
        <v>2020</v>
      </c>
      <c r="U293" s="2" t="s">
        <v>2019</v>
      </c>
      <c r="V293" s="2"/>
    </row>
    <row r="294" spans="1:62" ht="15.75" customHeight="1" x14ac:dyDescent="0.2">
      <c r="A294" s="2" t="s">
        <v>2028</v>
      </c>
      <c r="B294" s="2" t="s">
        <v>2024</v>
      </c>
      <c r="C294" s="2">
        <v>1987</v>
      </c>
      <c r="D294" s="50" t="s">
        <v>2025</v>
      </c>
      <c r="E294" s="28" t="s">
        <v>231</v>
      </c>
      <c r="F294" s="2" t="s">
        <v>1278</v>
      </c>
      <c r="G294" s="2" t="s">
        <v>329</v>
      </c>
      <c r="H294" s="2" t="s">
        <v>108</v>
      </c>
      <c r="I294" s="2"/>
      <c r="J294" s="2"/>
      <c r="K294" s="2"/>
      <c r="L294" s="2"/>
      <c r="M294" s="2" t="s">
        <v>2029</v>
      </c>
      <c r="N294" s="2"/>
      <c r="O294" s="2"/>
      <c r="P294" s="2"/>
      <c r="Q294" s="2"/>
      <c r="R294" s="2"/>
      <c r="S294" s="2"/>
      <c r="T294" s="2" t="s">
        <v>2026</v>
      </c>
      <c r="U294" s="2"/>
      <c r="V294" s="2" t="s">
        <v>2027</v>
      </c>
    </row>
    <row r="295" spans="1:62" ht="15.75" customHeight="1" x14ac:dyDescent="0.2">
      <c r="A295" s="2" t="s">
        <v>2069</v>
      </c>
      <c r="B295" s="2"/>
      <c r="C295" s="2"/>
      <c r="D295" s="2" t="s">
        <v>2070</v>
      </c>
      <c r="E295" s="2"/>
      <c r="F295" s="2"/>
      <c r="G295" s="2"/>
      <c r="H295" s="2"/>
      <c r="I295" s="2"/>
      <c r="J295" s="2"/>
      <c r="K295" s="2"/>
      <c r="L295" s="2"/>
      <c r="M295" s="2"/>
      <c r="N295" s="2"/>
      <c r="O295" s="2"/>
      <c r="P295" s="2"/>
      <c r="Q295" s="2"/>
      <c r="R295" s="2"/>
      <c r="S295" s="2"/>
      <c r="T295" s="2"/>
      <c r="U295" s="2"/>
      <c r="V295" s="2"/>
    </row>
    <row r="296" spans="1:62" ht="30" customHeight="1" x14ac:dyDescent="0.2">
      <c r="A296" s="25" t="s">
        <v>2079</v>
      </c>
      <c r="B296" s="14" t="s">
        <v>874</v>
      </c>
      <c r="C296" s="24">
        <v>1989</v>
      </c>
      <c r="D296" s="14" t="s">
        <v>875</v>
      </c>
      <c r="E296" s="25" t="s">
        <v>788</v>
      </c>
      <c r="F296" s="25" t="s">
        <v>828</v>
      </c>
      <c r="G296" s="25" t="s">
        <v>293</v>
      </c>
      <c r="H296" s="25" t="s">
        <v>91</v>
      </c>
      <c r="I296" s="25" t="s">
        <v>2075</v>
      </c>
      <c r="J296" s="25" t="s">
        <v>2074</v>
      </c>
      <c r="K296" s="25" t="s">
        <v>2083</v>
      </c>
      <c r="L296" s="25" t="s">
        <v>2071</v>
      </c>
      <c r="M296" s="25" t="s">
        <v>2072</v>
      </c>
      <c r="N296" s="25"/>
      <c r="O296" s="25"/>
      <c r="P296" s="25"/>
      <c r="Q296" s="25" t="s">
        <v>113</v>
      </c>
      <c r="R296" s="25" t="s">
        <v>2119</v>
      </c>
      <c r="S296" s="25"/>
      <c r="T296" s="25" t="s">
        <v>2073</v>
      </c>
      <c r="U296" s="25"/>
      <c r="V296" s="25" t="s">
        <v>2062</v>
      </c>
      <c r="AL296">
        <v>0</v>
      </c>
      <c r="AM296">
        <v>0</v>
      </c>
      <c r="AN296">
        <v>0.17</v>
      </c>
      <c r="AO296">
        <v>0.83</v>
      </c>
      <c r="AP296">
        <v>0.33</v>
      </c>
      <c r="AQ296">
        <v>0.33</v>
      </c>
      <c r="AR296">
        <v>0</v>
      </c>
      <c r="AS296" s="86" t="s">
        <v>2076</v>
      </c>
      <c r="AT296" s="86" t="s">
        <v>2077</v>
      </c>
      <c r="AU296" s="86" t="s">
        <v>2081</v>
      </c>
      <c r="BF296" t="s">
        <v>247</v>
      </c>
      <c r="BG296" t="s">
        <v>248</v>
      </c>
      <c r="BH296" t="s">
        <v>249</v>
      </c>
      <c r="BI296" t="s">
        <v>876</v>
      </c>
      <c r="BJ296">
        <v>0</v>
      </c>
    </row>
    <row r="297" spans="1:62" ht="30" customHeight="1" x14ac:dyDescent="0.2">
      <c r="A297" s="25" t="s">
        <v>2080</v>
      </c>
      <c r="B297" s="14" t="s">
        <v>874</v>
      </c>
      <c r="C297" s="24">
        <v>1989</v>
      </c>
      <c r="D297" s="14" t="s">
        <v>875</v>
      </c>
      <c r="E297" s="25" t="s">
        <v>788</v>
      </c>
      <c r="F297" s="25" t="s">
        <v>828</v>
      </c>
      <c r="G297" s="25" t="s">
        <v>293</v>
      </c>
      <c r="H297" s="25" t="s">
        <v>91</v>
      </c>
      <c r="I297" s="25" t="s">
        <v>2075</v>
      </c>
      <c r="J297" s="25" t="s">
        <v>2074</v>
      </c>
      <c r="K297" s="25" t="s">
        <v>2083</v>
      </c>
      <c r="L297" s="25" t="s">
        <v>2071</v>
      </c>
      <c r="M297" s="25" t="s">
        <v>2072</v>
      </c>
      <c r="N297" s="25"/>
      <c r="O297" s="25"/>
      <c r="P297" s="25"/>
      <c r="Q297" s="25" t="s">
        <v>113</v>
      </c>
      <c r="R297" s="25" t="s">
        <v>610</v>
      </c>
      <c r="S297" s="25"/>
      <c r="T297" s="25" t="s">
        <v>2073</v>
      </c>
      <c r="U297" s="25"/>
      <c r="V297" s="25" t="s">
        <v>2062</v>
      </c>
      <c r="AL297">
        <v>0</v>
      </c>
      <c r="AM297">
        <v>0</v>
      </c>
      <c r="AN297">
        <f>(AW297+AZ297)/2</f>
        <v>0.42000000000000004</v>
      </c>
      <c r="AO297">
        <f>(AX297+BA297)/2</f>
        <v>0.41499999999999998</v>
      </c>
      <c r="AP297">
        <f>(AY297+BB297)/2</f>
        <v>0.33</v>
      </c>
      <c r="AQ297">
        <v>0.5</v>
      </c>
      <c r="AR297">
        <v>0</v>
      </c>
      <c r="AS297" s="86" t="s">
        <v>2076</v>
      </c>
      <c r="AT297" s="86" t="s">
        <v>2077</v>
      </c>
      <c r="AU297" s="86" t="s">
        <v>2082</v>
      </c>
      <c r="AW297">
        <v>0.67</v>
      </c>
      <c r="AX297">
        <v>0.83</v>
      </c>
      <c r="AY297">
        <v>0.33</v>
      </c>
      <c r="AZ297">
        <v>0.17</v>
      </c>
      <c r="BA297">
        <v>0</v>
      </c>
      <c r="BB297">
        <v>0.33</v>
      </c>
      <c r="BF297" t="s">
        <v>247</v>
      </c>
      <c r="BG297" t="s">
        <v>248</v>
      </c>
      <c r="BH297" t="s">
        <v>249</v>
      </c>
      <c r="BI297" t="s">
        <v>876</v>
      </c>
      <c r="BJ297">
        <v>0</v>
      </c>
    </row>
    <row r="298" spans="1:62" ht="15.75" customHeight="1" x14ac:dyDescent="0.2">
      <c r="A298" s="98" t="s">
        <v>1592</v>
      </c>
      <c r="B298" s="102" t="s">
        <v>1223</v>
      </c>
      <c r="C298" s="113">
        <v>2024</v>
      </c>
      <c r="D298" s="102" t="s">
        <v>1593</v>
      </c>
      <c r="E298" s="102" t="s">
        <v>788</v>
      </c>
      <c r="F298" s="21" t="s">
        <v>843</v>
      </c>
      <c r="G298" s="102" t="s">
        <v>403</v>
      </c>
      <c r="H298" s="102" t="s">
        <v>241</v>
      </c>
      <c r="I298" s="102"/>
      <c r="J298" s="21" t="s">
        <v>368</v>
      </c>
      <c r="K298" s="21" t="s">
        <v>295</v>
      </c>
      <c r="L298" s="102"/>
      <c r="M298" s="109" t="s">
        <v>1594</v>
      </c>
      <c r="N298" s="21" t="s">
        <v>235</v>
      </c>
      <c r="O298" s="102" t="s">
        <v>377</v>
      </c>
      <c r="P298" s="102"/>
      <c r="Q298" s="102"/>
      <c r="R298" s="102"/>
      <c r="S298" s="102">
        <v>4</v>
      </c>
      <c r="T298" s="102"/>
      <c r="U298" s="102"/>
      <c r="V298" s="102" t="s">
        <v>97</v>
      </c>
      <c r="W298" s="17">
        <v>0.63</v>
      </c>
      <c r="X298" s="17">
        <v>0.48</v>
      </c>
      <c r="Y298" s="17">
        <v>0.42</v>
      </c>
      <c r="Z298" s="17">
        <v>0.2</v>
      </c>
      <c r="AA298" s="18" t="b">
        <f>TRUE()</f>
        <v>1</v>
      </c>
      <c r="AB298" s="18" t="s">
        <v>246</v>
      </c>
      <c r="AC298" s="19">
        <v>7.9000000000000001E-2</v>
      </c>
      <c r="AD298" s="19">
        <v>0</v>
      </c>
      <c r="AE298" s="19">
        <v>5.2999999999999999E-2</v>
      </c>
      <c r="AF298" s="19">
        <v>0</v>
      </c>
      <c r="AG298" s="19">
        <v>0</v>
      </c>
      <c r="AH298" s="19">
        <v>0.105</v>
      </c>
      <c r="AI298" s="19">
        <v>0.76300000000000001</v>
      </c>
      <c r="AJ298" s="19">
        <v>0</v>
      </c>
      <c r="AK298" s="18" t="s">
        <v>299</v>
      </c>
      <c r="AL298" s="19">
        <v>0.17</v>
      </c>
      <c r="AM298" s="19">
        <v>0.14000000000000001</v>
      </c>
      <c r="AN298">
        <v>0.67</v>
      </c>
      <c r="AO298" s="19">
        <v>0.5</v>
      </c>
      <c r="AP298">
        <f>(0.5+0.67)/2</f>
        <v>0.58499999999999996</v>
      </c>
      <c r="AQ298" s="19">
        <v>0.33</v>
      </c>
      <c r="AR298" s="19">
        <v>0.14000000000000001</v>
      </c>
      <c r="AS298" s="2" t="s">
        <v>333</v>
      </c>
      <c r="AT298" s="2" t="s">
        <v>1595</v>
      </c>
      <c r="AU298" s="2" t="s">
        <v>1596</v>
      </c>
      <c r="AV298" s="50" t="s">
        <v>1597</v>
      </c>
      <c r="BF298" t="s">
        <v>247</v>
      </c>
      <c r="BG298" t="s">
        <v>615</v>
      </c>
      <c r="BH298" s="86" t="s">
        <v>2034</v>
      </c>
      <c r="BI298" t="s">
        <v>1595</v>
      </c>
    </row>
    <row r="299" spans="1:62" ht="15.75" customHeight="1" x14ac:dyDescent="0.2">
      <c r="A299" s="100" t="s">
        <v>1063</v>
      </c>
      <c r="B299" s="103" t="s">
        <v>1064</v>
      </c>
      <c r="C299" s="106">
        <v>1995</v>
      </c>
      <c r="D299" s="103" t="s">
        <v>1065</v>
      </c>
      <c r="E299" s="103" t="s">
        <v>737</v>
      </c>
      <c r="F299" s="14" t="s">
        <v>590</v>
      </c>
      <c r="G299" s="103" t="s">
        <v>261</v>
      </c>
      <c r="H299" s="103" t="s">
        <v>91</v>
      </c>
      <c r="I299" s="103" t="s">
        <v>2023</v>
      </c>
      <c r="J299" s="14" t="s">
        <v>1066</v>
      </c>
      <c r="K299" s="14" t="s">
        <v>590</v>
      </c>
      <c r="L299" s="103" t="s">
        <v>2037</v>
      </c>
      <c r="M299" s="108" t="s">
        <v>2036</v>
      </c>
      <c r="N299" s="14" t="s">
        <v>111</v>
      </c>
      <c r="O299" s="103" t="s">
        <v>398</v>
      </c>
      <c r="P299" s="103" t="s">
        <v>1067</v>
      </c>
      <c r="Q299" s="103" t="s">
        <v>113</v>
      </c>
      <c r="R299" s="103" t="s">
        <v>610</v>
      </c>
      <c r="S299" s="103">
        <v>5</v>
      </c>
      <c r="T299" s="103" t="s">
        <v>2038</v>
      </c>
      <c r="U299" s="103" t="s">
        <v>2007</v>
      </c>
      <c r="V299" s="103" t="s">
        <v>1068</v>
      </c>
      <c r="W299" s="17">
        <v>0.9</v>
      </c>
      <c r="X299" s="17">
        <v>0.77</v>
      </c>
      <c r="Y299" s="17">
        <v>0.4</v>
      </c>
      <c r="Z299" s="17">
        <v>1</v>
      </c>
      <c r="AA299" s="18" t="b">
        <f>TRUE()</f>
        <v>1</v>
      </c>
      <c r="AB299" s="18" t="s">
        <v>246</v>
      </c>
      <c r="AC299" s="19">
        <v>0</v>
      </c>
      <c r="AD299" s="19">
        <v>0</v>
      </c>
      <c r="AE299" s="19">
        <v>0.81399999999999995</v>
      </c>
      <c r="AF299" s="19">
        <v>0.186</v>
      </c>
      <c r="AG299" s="19">
        <v>0</v>
      </c>
      <c r="AH299" s="19">
        <v>0</v>
      </c>
      <c r="AI299" s="19">
        <v>0</v>
      </c>
      <c r="AJ299" s="19">
        <v>0</v>
      </c>
      <c r="AK299" s="18" t="s">
        <v>342</v>
      </c>
      <c r="AL299">
        <v>0.83</v>
      </c>
      <c r="AM299">
        <v>0.28999999999999998</v>
      </c>
      <c r="AN299">
        <v>0.67</v>
      </c>
      <c r="AO299">
        <v>0.33</v>
      </c>
      <c r="AP299">
        <v>0.5</v>
      </c>
      <c r="AQ299">
        <v>0.5</v>
      </c>
      <c r="AR299">
        <v>0.14000000000000001</v>
      </c>
      <c r="AS299" s="86" t="s">
        <v>2030</v>
      </c>
      <c r="AT299" s="86" t="s">
        <v>2031</v>
      </c>
      <c r="AU299" s="86" t="s">
        <v>2032</v>
      </c>
      <c r="AV299" s="86" t="s">
        <v>2033</v>
      </c>
      <c r="BF299" t="s">
        <v>247</v>
      </c>
      <c r="BG299" t="s">
        <v>265</v>
      </c>
      <c r="BH299" s="86" t="s">
        <v>2034</v>
      </c>
      <c r="BI299" s="86" t="s">
        <v>2035</v>
      </c>
      <c r="BJ299">
        <v>1</v>
      </c>
    </row>
    <row r="300" spans="1:62" ht="15.75" customHeight="1" x14ac:dyDescent="0.2">
      <c r="A300" s="100" t="s">
        <v>1610</v>
      </c>
      <c r="B300" s="103" t="s">
        <v>1611</v>
      </c>
      <c r="C300" s="106">
        <v>2025</v>
      </c>
      <c r="D300" s="103" t="s">
        <v>1612</v>
      </c>
      <c r="E300" s="103" t="s">
        <v>788</v>
      </c>
      <c r="F300" s="14" t="s">
        <v>952</v>
      </c>
      <c r="G300" s="103" t="s">
        <v>367</v>
      </c>
      <c r="H300" s="103" t="s">
        <v>306</v>
      </c>
      <c r="I300" s="103"/>
      <c r="J300" s="14" t="s">
        <v>368</v>
      </c>
      <c r="K300" s="14" t="s">
        <v>295</v>
      </c>
      <c r="L300" s="103"/>
      <c r="M300" s="108" t="s">
        <v>1613</v>
      </c>
      <c r="N300" s="14" t="s">
        <v>297</v>
      </c>
      <c r="O300" s="103" t="s">
        <v>112</v>
      </c>
      <c r="P300" s="103"/>
      <c r="Q300" s="103"/>
      <c r="R300" s="103"/>
      <c r="S300" s="103">
        <v>2</v>
      </c>
      <c r="T300" s="103"/>
      <c r="U300" s="103"/>
      <c r="V300" s="102" t="s">
        <v>97</v>
      </c>
      <c r="W300" s="17">
        <v>0.35</v>
      </c>
      <c r="X300" s="17">
        <v>0.3</v>
      </c>
      <c r="Y300" s="17">
        <v>0.38</v>
      </c>
      <c r="Z300" s="17">
        <v>0</v>
      </c>
      <c r="AA300" s="18" t="b">
        <f>TRUE()</f>
        <v>1</v>
      </c>
      <c r="AB300" s="18" t="s">
        <v>246</v>
      </c>
      <c r="AC300" s="19">
        <v>0.184</v>
      </c>
      <c r="AD300" s="19">
        <v>0</v>
      </c>
      <c r="AE300" s="19">
        <v>0</v>
      </c>
      <c r="AF300" s="19">
        <v>0</v>
      </c>
      <c r="AG300" s="19">
        <v>0</v>
      </c>
      <c r="AH300" s="19">
        <v>0</v>
      </c>
      <c r="AI300" s="19">
        <v>0.81599999999999995</v>
      </c>
      <c r="AJ300" s="19">
        <v>0</v>
      </c>
      <c r="AK300" s="18" t="s">
        <v>299</v>
      </c>
      <c r="AL300" s="19">
        <v>0.17</v>
      </c>
      <c r="AM300" s="19">
        <v>0.14000000000000001</v>
      </c>
      <c r="AN300">
        <v>0.67</v>
      </c>
      <c r="AO300">
        <v>0</v>
      </c>
      <c r="AP300">
        <f>(0.5+0.67)/2</f>
        <v>0.58499999999999996</v>
      </c>
      <c r="AQ300" s="19">
        <v>0.33</v>
      </c>
      <c r="AR300" s="19">
        <v>0.14000000000000001</v>
      </c>
      <c r="AS300" s="2" t="s">
        <v>333</v>
      </c>
      <c r="AU300" s="2" t="s">
        <v>1614</v>
      </c>
      <c r="AV300" s="2" t="s">
        <v>1615</v>
      </c>
      <c r="BF300" t="s">
        <v>247</v>
      </c>
      <c r="BG300" t="s">
        <v>615</v>
      </c>
      <c r="BH300" s="86" t="s">
        <v>2034</v>
      </c>
      <c r="BI300" t="s">
        <v>616</v>
      </c>
    </row>
    <row r="301" spans="1:62" ht="15.75" customHeight="1" x14ac:dyDescent="0.2">
      <c r="A301" s="2" t="s">
        <v>2130</v>
      </c>
      <c r="B301" s="2" t="s">
        <v>2132</v>
      </c>
      <c r="C301" s="2">
        <v>2021</v>
      </c>
      <c r="D301" s="35" t="s">
        <v>2131</v>
      </c>
      <c r="E301" s="35" t="s">
        <v>1623</v>
      </c>
      <c r="F301" s="2" t="s">
        <v>106</v>
      </c>
      <c r="G301" s="35" t="s">
        <v>1263</v>
      </c>
      <c r="H301" s="35" t="s">
        <v>2133</v>
      </c>
      <c r="I301" s="2"/>
      <c r="J301" s="2"/>
      <c r="K301" s="2" t="s">
        <v>89</v>
      </c>
      <c r="L301" s="2"/>
      <c r="M301" s="2"/>
      <c r="N301" s="35" t="s">
        <v>1623</v>
      </c>
      <c r="O301" s="2" t="s">
        <v>1164</v>
      </c>
      <c r="P301" s="2"/>
      <c r="Q301" s="2"/>
      <c r="R301" s="2"/>
      <c r="S301" s="2"/>
      <c r="T301" s="2"/>
      <c r="U301" s="50" t="s">
        <v>2134</v>
      </c>
      <c r="V301" s="2"/>
    </row>
    <row r="302" spans="1:62" ht="15.75" customHeight="1" x14ac:dyDescent="0.2">
      <c r="A302" s="2" t="s">
        <v>2135</v>
      </c>
      <c r="B302" s="2" t="s">
        <v>2137</v>
      </c>
      <c r="C302" s="2">
        <v>2023</v>
      </c>
      <c r="D302" s="35" t="s">
        <v>2136</v>
      </c>
      <c r="E302" s="2" t="s">
        <v>1623</v>
      </c>
      <c r="F302" s="2" t="s">
        <v>106</v>
      </c>
      <c r="G302" s="35" t="s">
        <v>1263</v>
      </c>
      <c r="H302" s="35" t="s">
        <v>2133</v>
      </c>
      <c r="I302" s="2"/>
      <c r="J302" s="2"/>
      <c r="K302" s="2" t="s">
        <v>89</v>
      </c>
      <c r="L302" s="2"/>
      <c r="M302" s="2"/>
      <c r="N302" s="35" t="s">
        <v>1623</v>
      </c>
      <c r="O302" s="2" t="s">
        <v>2139</v>
      </c>
      <c r="P302" s="2"/>
      <c r="Q302" s="2"/>
      <c r="R302" s="2"/>
      <c r="S302" s="2"/>
      <c r="T302" s="2"/>
      <c r="U302" s="50" t="s">
        <v>2138</v>
      </c>
      <c r="V302" s="2"/>
    </row>
    <row r="303" spans="1:62" ht="30" customHeight="1" x14ac:dyDescent="0.2">
      <c r="A303" s="2" t="s">
        <v>2149</v>
      </c>
      <c r="B303" s="14" t="s">
        <v>2150</v>
      </c>
      <c r="C303" s="24">
        <v>2012</v>
      </c>
      <c r="D303" s="14" t="s">
        <v>2151</v>
      </c>
      <c r="E303" s="14" t="s">
        <v>89</v>
      </c>
      <c r="F303" s="14" t="s">
        <v>106</v>
      </c>
      <c r="G303" s="14" t="s">
        <v>107</v>
      </c>
      <c r="H303" s="14" t="s">
        <v>108</v>
      </c>
      <c r="I303" s="14"/>
      <c r="J303" s="14" t="s">
        <v>109</v>
      </c>
      <c r="K303" s="14" t="s">
        <v>89</v>
      </c>
      <c r="L303" s="14"/>
      <c r="M303" s="16" t="s">
        <v>2156</v>
      </c>
      <c r="N303" s="14" t="s">
        <v>111</v>
      </c>
      <c r="O303" s="14" t="s">
        <v>2155</v>
      </c>
      <c r="P303" s="14"/>
      <c r="Q303" s="14" t="s">
        <v>2122</v>
      </c>
      <c r="R303" s="14"/>
      <c r="S303" s="14">
        <v>3</v>
      </c>
      <c r="T303" s="14" t="s">
        <v>2154</v>
      </c>
      <c r="U303" s="14" t="s">
        <v>2152</v>
      </c>
      <c r="V303" s="14" t="s">
        <v>2153</v>
      </c>
      <c r="W303" s="17">
        <v>0.2</v>
      </c>
      <c r="X303" s="17">
        <v>0.15</v>
      </c>
      <c r="Y303" s="17">
        <v>0.75</v>
      </c>
      <c r="Z303" s="17">
        <v>0.2</v>
      </c>
      <c r="AA303" s="18" t="b">
        <f>FALSE()</f>
        <v>0</v>
      </c>
      <c r="AB303" s="18" t="s">
        <v>98</v>
      </c>
      <c r="AC303" s="19">
        <v>0.312</v>
      </c>
      <c r="AD303" s="19">
        <v>0.375</v>
      </c>
      <c r="AE303" s="19">
        <v>0</v>
      </c>
      <c r="AF303" s="19">
        <v>0.14599999999999999</v>
      </c>
      <c r="AG303" s="19">
        <v>0</v>
      </c>
      <c r="AH303" s="19">
        <v>0</v>
      </c>
      <c r="AI303" s="19">
        <v>0.125</v>
      </c>
      <c r="AJ303" s="19">
        <v>4.2000000000000003E-2</v>
      </c>
      <c r="AK303" s="18" t="s">
        <v>89</v>
      </c>
      <c r="BF303" t="s">
        <v>99</v>
      </c>
      <c r="BH303" t="s">
        <v>100</v>
      </c>
      <c r="BI303" t="s">
        <v>101</v>
      </c>
    </row>
    <row r="304" spans="1:62" ht="1" customHeight="1" x14ac:dyDescent="0.2">
      <c r="A304" s="2" t="s">
        <v>2157</v>
      </c>
      <c r="B304" s="14" t="s">
        <v>1324</v>
      </c>
      <c r="C304" s="24">
        <v>2011</v>
      </c>
      <c r="D304" s="14" t="s">
        <v>2158</v>
      </c>
      <c r="E304" s="14" t="s">
        <v>89</v>
      </c>
      <c r="F304" s="14" t="s">
        <v>106</v>
      </c>
      <c r="G304" s="14" t="s">
        <v>107</v>
      </c>
      <c r="H304" s="14" t="s">
        <v>108</v>
      </c>
      <c r="I304" s="14"/>
      <c r="J304" s="14" t="s">
        <v>109</v>
      </c>
      <c r="K304" s="14" t="s">
        <v>89</v>
      </c>
      <c r="L304" s="14"/>
      <c r="M304" s="16" t="s">
        <v>2159</v>
      </c>
      <c r="N304" s="14" t="s">
        <v>111</v>
      </c>
      <c r="O304" s="14" t="s">
        <v>2160</v>
      </c>
      <c r="P304" s="14"/>
      <c r="Q304" s="14" t="s">
        <v>2146</v>
      </c>
      <c r="R304" s="14"/>
      <c r="S304" s="14">
        <v>3</v>
      </c>
      <c r="T304" s="14" t="s">
        <v>2175</v>
      </c>
      <c r="U304" s="14" t="s">
        <v>2162</v>
      </c>
      <c r="V304" s="14" t="s">
        <v>2161</v>
      </c>
      <c r="W304" s="17">
        <v>0.2</v>
      </c>
      <c r="X304" s="17">
        <v>0.15</v>
      </c>
      <c r="Y304" s="17">
        <v>0.75</v>
      </c>
      <c r="Z304" s="17">
        <v>0.2</v>
      </c>
      <c r="AA304" s="18" t="b">
        <f>FALSE()</f>
        <v>0</v>
      </c>
      <c r="AB304" s="18" t="s">
        <v>98</v>
      </c>
      <c r="AC304" s="19">
        <v>0.312</v>
      </c>
      <c r="AD304" s="19">
        <v>0.375</v>
      </c>
      <c r="AE304" s="19">
        <v>0</v>
      </c>
      <c r="AF304" s="19">
        <v>0.14599999999999999</v>
      </c>
      <c r="AG304" s="19">
        <v>0</v>
      </c>
      <c r="AH304" s="19">
        <v>0</v>
      </c>
      <c r="AI304" s="19">
        <v>0.125</v>
      </c>
      <c r="AJ304" s="19">
        <v>4.2000000000000003E-2</v>
      </c>
      <c r="AK304" s="18" t="s">
        <v>89</v>
      </c>
      <c r="BF304" t="s">
        <v>99</v>
      </c>
      <c r="BH304" t="s">
        <v>100</v>
      </c>
      <c r="BI304" t="s">
        <v>101</v>
      </c>
    </row>
    <row r="305" spans="1:62" ht="57" customHeight="1" x14ac:dyDescent="0.2">
      <c r="A305" s="99" t="s">
        <v>1307</v>
      </c>
      <c r="B305" s="21" t="s">
        <v>1308</v>
      </c>
      <c r="C305" s="22">
        <v>2016</v>
      </c>
      <c r="D305" s="21" t="s">
        <v>1309</v>
      </c>
      <c r="E305" s="21" t="s">
        <v>231</v>
      </c>
      <c r="F305" s="21" t="s">
        <v>447</v>
      </c>
      <c r="G305" s="21" t="s">
        <v>293</v>
      </c>
      <c r="H305" s="21" t="s">
        <v>91</v>
      </c>
      <c r="I305" s="21" t="s">
        <v>2195</v>
      </c>
      <c r="J305" s="21" t="s">
        <v>718</v>
      </c>
      <c r="K305" s="21" t="s">
        <v>1302</v>
      </c>
      <c r="L305" s="21" t="s">
        <v>2177</v>
      </c>
      <c r="M305" s="23" t="s">
        <v>1310</v>
      </c>
      <c r="N305" s="21" t="s">
        <v>192</v>
      </c>
      <c r="O305" s="21" t="s">
        <v>1311</v>
      </c>
      <c r="P305" s="21"/>
      <c r="Q305" s="21" t="s">
        <v>2184</v>
      </c>
      <c r="R305" s="21"/>
      <c r="S305" s="21">
        <v>3</v>
      </c>
      <c r="T305" s="21" t="s">
        <v>1312</v>
      </c>
      <c r="U305" s="21" t="s">
        <v>2176</v>
      </c>
      <c r="V305" s="21" t="s">
        <v>1305</v>
      </c>
      <c r="W305" s="17">
        <v>0.5</v>
      </c>
      <c r="X305" s="17">
        <v>0.35</v>
      </c>
      <c r="Y305" s="17">
        <v>0.35</v>
      </c>
      <c r="Z305" s="17">
        <v>0.95</v>
      </c>
      <c r="AA305" s="18" t="b">
        <f>TRUE()</f>
        <v>1</v>
      </c>
      <c r="AB305" s="18" t="s">
        <v>246</v>
      </c>
      <c r="AC305" s="19">
        <v>0.66700000000000004</v>
      </c>
      <c r="AD305" s="19">
        <v>0.33300000000000002</v>
      </c>
      <c r="AE305" s="19">
        <v>0</v>
      </c>
      <c r="AF305" s="19">
        <v>0</v>
      </c>
      <c r="AG305" s="19">
        <v>0</v>
      </c>
      <c r="AH305" s="19">
        <v>0</v>
      </c>
      <c r="AI305" s="19">
        <v>0</v>
      </c>
      <c r="AJ305" s="19">
        <v>0</v>
      </c>
      <c r="AK305" s="18" t="s">
        <v>333</v>
      </c>
      <c r="AL305">
        <v>0.55833333333333335</v>
      </c>
      <c r="AM305">
        <v>0.42833333333333329</v>
      </c>
      <c r="AN305">
        <v>0.40500000000000003</v>
      </c>
      <c r="AO305">
        <v>0.85000000000000009</v>
      </c>
      <c r="AP305">
        <v>0.38666666666666671</v>
      </c>
      <c r="AQ305">
        <v>0.3066666666666667</v>
      </c>
      <c r="AR305">
        <v>0.23666666666666666</v>
      </c>
      <c r="AU305" s="86" t="s">
        <v>2187</v>
      </c>
      <c r="AV305" s="86" t="s">
        <v>2196</v>
      </c>
      <c r="BF305" t="s">
        <v>247</v>
      </c>
      <c r="BG305" s="86" t="s">
        <v>615</v>
      </c>
      <c r="BH305" s="86" t="s">
        <v>2034</v>
      </c>
      <c r="BI305" s="2" t="s">
        <v>1313</v>
      </c>
      <c r="BJ305">
        <v>0</v>
      </c>
    </row>
    <row r="306" spans="1:62" ht="57" customHeight="1" x14ac:dyDescent="0.2">
      <c r="A306" s="99" t="s">
        <v>2178</v>
      </c>
      <c r="B306" s="21" t="s">
        <v>1308</v>
      </c>
      <c r="C306" s="22">
        <v>2016</v>
      </c>
      <c r="D306" s="21" t="s">
        <v>1309</v>
      </c>
      <c r="E306" s="21" t="s">
        <v>231</v>
      </c>
      <c r="F306" s="21" t="s">
        <v>447</v>
      </c>
      <c r="G306" s="21" t="s">
        <v>293</v>
      </c>
      <c r="H306" s="21" t="s">
        <v>91</v>
      </c>
      <c r="I306" s="21" t="s">
        <v>2181</v>
      </c>
      <c r="J306" s="21" t="s">
        <v>718</v>
      </c>
      <c r="K306" s="21" t="s">
        <v>1302</v>
      </c>
      <c r="L306" s="21" t="s">
        <v>2177</v>
      </c>
      <c r="M306" s="23" t="s">
        <v>1310</v>
      </c>
      <c r="N306" s="21" t="s">
        <v>192</v>
      </c>
      <c r="O306" s="21" t="s">
        <v>1311</v>
      </c>
      <c r="P306" s="21"/>
      <c r="Q306" s="21" t="s">
        <v>2184</v>
      </c>
      <c r="R306" s="21"/>
      <c r="S306" s="21">
        <v>3</v>
      </c>
      <c r="T306" s="21" t="s">
        <v>1312</v>
      </c>
      <c r="U306" s="21" t="s">
        <v>2176</v>
      </c>
      <c r="V306" s="21" t="s">
        <v>1305</v>
      </c>
      <c r="W306" s="17">
        <v>0.5</v>
      </c>
      <c r="X306" s="17">
        <v>0.35</v>
      </c>
      <c r="Y306" s="17">
        <v>0.35</v>
      </c>
      <c r="Z306" s="17">
        <v>0.95</v>
      </c>
      <c r="AA306" s="18" t="b">
        <f>TRUE()</f>
        <v>1</v>
      </c>
      <c r="AB306" s="18" t="s">
        <v>246</v>
      </c>
      <c r="AC306" s="19">
        <v>0.66700000000000004</v>
      </c>
      <c r="AD306" s="19">
        <v>0.33300000000000002</v>
      </c>
      <c r="AE306" s="19">
        <v>0</v>
      </c>
      <c r="AF306" s="19">
        <v>0</v>
      </c>
      <c r="AG306" s="19">
        <v>0</v>
      </c>
      <c r="AH306" s="19">
        <v>0</v>
      </c>
      <c r="AI306" s="19">
        <v>0</v>
      </c>
      <c r="AJ306" s="19">
        <v>0</v>
      </c>
      <c r="AK306" s="18" t="s">
        <v>333</v>
      </c>
      <c r="AL306">
        <v>0.17</v>
      </c>
      <c r="AM306">
        <v>0</v>
      </c>
      <c r="AN306">
        <f>(AW306+AZ306)/2</f>
        <v>0.41500000000000004</v>
      </c>
      <c r="AO306">
        <f>(AX306+BA306)/2</f>
        <v>0.83</v>
      </c>
      <c r="AP306">
        <f>(AY306+BB306)/2</f>
        <v>0.33</v>
      </c>
      <c r="AQ306">
        <v>0.17</v>
      </c>
      <c r="AR306">
        <v>0.14000000000000001</v>
      </c>
      <c r="AT306" s="86" t="s">
        <v>2185</v>
      </c>
      <c r="AU306" s="86" t="s">
        <v>2187</v>
      </c>
      <c r="AV306" s="86" t="s">
        <v>2188</v>
      </c>
      <c r="AW306">
        <v>0.33</v>
      </c>
      <c r="AX306">
        <v>0.83</v>
      </c>
      <c r="AY306">
        <v>0.33</v>
      </c>
      <c r="AZ306">
        <v>0.5</v>
      </c>
      <c r="BA306">
        <v>0.83</v>
      </c>
      <c r="BB306">
        <v>0.33</v>
      </c>
      <c r="BF306" t="s">
        <v>247</v>
      </c>
      <c r="BG306" s="86" t="s">
        <v>615</v>
      </c>
      <c r="BH306" s="86" t="s">
        <v>2034</v>
      </c>
      <c r="BI306" s="2" t="s">
        <v>1313</v>
      </c>
      <c r="BJ306">
        <v>0</v>
      </c>
    </row>
    <row r="307" spans="1:62" ht="57" customHeight="1" x14ac:dyDescent="0.2">
      <c r="A307" s="98" t="s">
        <v>740</v>
      </c>
      <c r="B307" s="21" t="s">
        <v>741</v>
      </c>
      <c r="C307" s="22" t="s">
        <v>560</v>
      </c>
      <c r="D307" s="21" t="s">
        <v>742</v>
      </c>
      <c r="E307" s="21" t="s">
        <v>737</v>
      </c>
      <c r="F307" s="21" t="s">
        <v>590</v>
      </c>
      <c r="G307" s="21" t="s">
        <v>261</v>
      </c>
      <c r="H307" s="21" t="s">
        <v>91</v>
      </c>
      <c r="I307" s="21"/>
      <c r="J307" s="21" t="s">
        <v>269</v>
      </c>
      <c r="K307" s="21" t="s">
        <v>590</v>
      </c>
      <c r="L307" s="21"/>
      <c r="M307" s="23" t="s">
        <v>743</v>
      </c>
      <c r="N307" s="21" t="s">
        <v>111</v>
      </c>
      <c r="O307" s="21" t="s">
        <v>377</v>
      </c>
      <c r="P307" s="21"/>
      <c r="Q307" s="21"/>
      <c r="R307" s="21"/>
      <c r="S307" s="21">
        <v>4</v>
      </c>
      <c r="T307" s="21"/>
      <c r="U307" s="21"/>
      <c r="V307" s="21" t="s">
        <v>97</v>
      </c>
      <c r="W307" s="17">
        <v>0.9</v>
      </c>
      <c r="X307" s="17">
        <v>0.77</v>
      </c>
      <c r="Y307" s="17">
        <v>0.4</v>
      </c>
      <c r="Z307" s="17">
        <v>1</v>
      </c>
      <c r="AA307" s="18" t="b">
        <f>TRUE()</f>
        <v>1</v>
      </c>
      <c r="AB307" s="18" t="s">
        <v>246</v>
      </c>
      <c r="AC307" s="19">
        <v>0</v>
      </c>
      <c r="AD307" s="19">
        <v>0</v>
      </c>
      <c r="AE307" s="19">
        <v>0.81399999999999995</v>
      </c>
      <c r="AF307" s="19">
        <v>0.186</v>
      </c>
      <c r="AG307" s="19">
        <v>0</v>
      </c>
      <c r="AH307" s="19">
        <v>0</v>
      </c>
      <c r="AI307" s="19">
        <v>0</v>
      </c>
      <c r="AJ307" s="19">
        <v>0</v>
      </c>
      <c r="AK307" s="18" t="s">
        <v>342</v>
      </c>
      <c r="AL307">
        <v>0.67</v>
      </c>
      <c r="AM307">
        <v>0.28999999999999998</v>
      </c>
      <c r="AN307">
        <v>0.33</v>
      </c>
      <c r="AO307">
        <v>1</v>
      </c>
      <c r="AP307">
        <v>0.5</v>
      </c>
      <c r="AQ307">
        <v>0.33</v>
      </c>
      <c r="AR307">
        <v>0.56999999999999995</v>
      </c>
      <c r="BF307" t="s">
        <v>247</v>
      </c>
      <c r="BG307" t="s">
        <v>265</v>
      </c>
      <c r="BH307" t="s">
        <v>249</v>
      </c>
      <c r="BI307" t="s">
        <v>744</v>
      </c>
      <c r="BJ307">
        <v>1</v>
      </c>
    </row>
    <row r="308" spans="1:62" ht="15.75" customHeight="1" x14ac:dyDescent="0.2">
      <c r="A308" s="99" t="s">
        <v>2179</v>
      </c>
      <c r="B308" s="47" t="s">
        <v>1308</v>
      </c>
      <c r="C308" s="92">
        <v>2016</v>
      </c>
      <c r="D308" s="47" t="s">
        <v>1309</v>
      </c>
      <c r="E308" s="47" t="s">
        <v>231</v>
      </c>
      <c r="F308" s="47" t="s">
        <v>447</v>
      </c>
      <c r="G308" s="47" t="s">
        <v>293</v>
      </c>
      <c r="H308" s="47" t="s">
        <v>91</v>
      </c>
      <c r="I308" s="47" t="s">
        <v>2182</v>
      </c>
      <c r="J308" s="21" t="s">
        <v>718</v>
      </c>
      <c r="K308" s="21" t="s">
        <v>1302</v>
      </c>
      <c r="L308" s="102" t="s">
        <v>2177</v>
      </c>
      <c r="M308" s="109" t="s">
        <v>1310</v>
      </c>
      <c r="N308" s="102" t="s">
        <v>192</v>
      </c>
      <c r="O308" s="102" t="s">
        <v>1311</v>
      </c>
      <c r="P308" s="102"/>
      <c r="Q308" s="102" t="s">
        <v>2184</v>
      </c>
      <c r="R308" s="102"/>
      <c r="S308" s="102">
        <v>3</v>
      </c>
      <c r="T308" s="102" t="s">
        <v>1312</v>
      </c>
      <c r="U308" s="102" t="s">
        <v>2176</v>
      </c>
      <c r="V308" s="102" t="s">
        <v>1305</v>
      </c>
      <c r="W308" s="17">
        <v>0.5</v>
      </c>
      <c r="X308" s="17">
        <v>0.35</v>
      </c>
      <c r="Y308" s="17">
        <v>0.35</v>
      </c>
      <c r="Z308" s="17">
        <v>0.95</v>
      </c>
      <c r="AA308" s="18" t="b">
        <f>TRUE()</f>
        <v>1</v>
      </c>
      <c r="AB308" s="18" t="s">
        <v>246</v>
      </c>
      <c r="AC308" s="19">
        <v>0.66700000000000004</v>
      </c>
      <c r="AD308" s="19">
        <v>0.33300000000000002</v>
      </c>
      <c r="AE308" s="19">
        <v>0</v>
      </c>
      <c r="AF308" s="19">
        <v>0</v>
      </c>
      <c r="AG308" s="19">
        <v>0</v>
      </c>
      <c r="AH308" s="19">
        <v>0</v>
      </c>
      <c r="AI308" s="19">
        <v>0</v>
      </c>
      <c r="AJ308" s="19">
        <v>0</v>
      </c>
      <c r="AK308" s="18" t="s">
        <v>333</v>
      </c>
      <c r="AL308">
        <v>0.67</v>
      </c>
      <c r="AM308">
        <v>0.71</v>
      </c>
      <c r="AN308">
        <f>(AW308+AZ308)/2</f>
        <v>0.41500000000000004</v>
      </c>
      <c r="AO308">
        <v>0.83</v>
      </c>
      <c r="AP308">
        <f>(AY308+BB308)/2</f>
        <v>0.33</v>
      </c>
      <c r="AQ308">
        <v>0.17</v>
      </c>
      <c r="AR308">
        <v>0.14000000000000001</v>
      </c>
      <c r="AT308" s="86" t="s">
        <v>2186</v>
      </c>
      <c r="AW308">
        <v>0.33</v>
      </c>
      <c r="AX308">
        <v>0.83</v>
      </c>
      <c r="AY308">
        <v>0.33</v>
      </c>
      <c r="AZ308">
        <v>0.5</v>
      </c>
      <c r="BA308">
        <v>0.83</v>
      </c>
      <c r="BB308">
        <v>0.33</v>
      </c>
      <c r="BF308" t="s">
        <v>247</v>
      </c>
      <c r="BG308" s="86" t="s">
        <v>615</v>
      </c>
      <c r="BH308" s="86" t="s">
        <v>2034</v>
      </c>
      <c r="BI308" s="2" t="s">
        <v>1313</v>
      </c>
      <c r="BJ308">
        <v>0</v>
      </c>
    </row>
    <row r="309" spans="1:62" ht="30" customHeight="1" x14ac:dyDescent="0.2">
      <c r="A309" s="13" t="s">
        <v>617</v>
      </c>
      <c r="B309" s="14" t="s">
        <v>618</v>
      </c>
      <c r="C309" s="15" t="s">
        <v>117</v>
      </c>
      <c r="D309" s="14" t="s">
        <v>619</v>
      </c>
      <c r="E309" s="14" t="s">
        <v>524</v>
      </c>
      <c r="F309" s="14" t="s">
        <v>588</v>
      </c>
      <c r="G309" s="14" t="s">
        <v>261</v>
      </c>
      <c r="H309" s="14" t="s">
        <v>91</v>
      </c>
      <c r="I309" s="14"/>
      <c r="J309" s="14" t="s">
        <v>589</v>
      </c>
      <c r="K309" s="14" t="s">
        <v>204</v>
      </c>
      <c r="L309" s="14"/>
      <c r="M309" s="16" t="s">
        <v>620</v>
      </c>
      <c r="N309" s="14" t="s">
        <v>199</v>
      </c>
      <c r="O309" s="14" t="s">
        <v>271</v>
      </c>
      <c r="P309" s="14"/>
      <c r="Q309" s="14"/>
      <c r="R309" s="14"/>
      <c r="S309" s="14">
        <v>5</v>
      </c>
      <c r="T309" s="14" t="s">
        <v>621</v>
      </c>
      <c r="U309" s="14"/>
      <c r="V309" s="21" t="s">
        <v>97</v>
      </c>
      <c r="W309" s="17">
        <v>0.81</v>
      </c>
      <c r="X309" s="17">
        <v>0.67</v>
      </c>
      <c r="Y309" s="17">
        <v>0.42</v>
      </c>
      <c r="Z309" s="17">
        <v>0.83</v>
      </c>
      <c r="AA309" s="18" t="b">
        <f>TRUE()</f>
        <v>1</v>
      </c>
      <c r="AB309" s="18" t="s">
        <v>246</v>
      </c>
      <c r="AC309" s="19">
        <v>0</v>
      </c>
      <c r="AD309" s="19">
        <v>0</v>
      </c>
      <c r="AE309" s="19">
        <v>0.214</v>
      </c>
      <c r="AF309" s="19">
        <v>4.8000000000000001E-2</v>
      </c>
      <c r="AG309" s="19">
        <v>0.214</v>
      </c>
      <c r="AH309" s="19">
        <v>0.52400000000000002</v>
      </c>
      <c r="AI309" s="19">
        <v>0</v>
      </c>
      <c r="AJ309" s="19">
        <v>0</v>
      </c>
      <c r="AK309" s="18" t="s">
        <v>193</v>
      </c>
      <c r="AL309">
        <v>0.67</v>
      </c>
      <c r="AM309">
        <v>0.56999999999999995</v>
      </c>
      <c r="AN309">
        <v>0.33</v>
      </c>
      <c r="AO309">
        <v>1</v>
      </c>
      <c r="AP309">
        <v>0.5</v>
      </c>
      <c r="AQ309">
        <v>0.67</v>
      </c>
      <c r="AR309">
        <v>0.28999999999999998</v>
      </c>
      <c r="BF309" t="s">
        <v>247</v>
      </c>
      <c r="BG309" t="s">
        <v>265</v>
      </c>
      <c r="BH309" t="s">
        <v>249</v>
      </c>
      <c r="BI309" t="s">
        <v>622</v>
      </c>
      <c r="BJ309">
        <v>0.5</v>
      </c>
    </row>
    <row r="310" spans="1:62" ht="30" customHeight="1" x14ac:dyDescent="0.2">
      <c r="A310" s="13" t="s">
        <v>848</v>
      </c>
      <c r="B310" s="14" t="s">
        <v>849</v>
      </c>
      <c r="C310" s="15" t="s">
        <v>274</v>
      </c>
      <c r="D310" s="14" t="s">
        <v>850</v>
      </c>
      <c r="E310" s="14" t="s">
        <v>231</v>
      </c>
      <c r="F310" s="14" t="s">
        <v>447</v>
      </c>
      <c r="G310" s="14" t="s">
        <v>293</v>
      </c>
      <c r="H310" s="14" t="s">
        <v>91</v>
      </c>
      <c r="I310" s="14"/>
      <c r="J310" s="14" t="s">
        <v>718</v>
      </c>
      <c r="K310" s="14" t="s">
        <v>448</v>
      </c>
      <c r="L310" s="14"/>
      <c r="M310" s="16" t="s">
        <v>851</v>
      </c>
      <c r="N310" s="14" t="s">
        <v>192</v>
      </c>
      <c r="O310" s="14" t="s">
        <v>852</v>
      </c>
      <c r="P310" s="14"/>
      <c r="Q310" s="14"/>
      <c r="R310" s="14"/>
      <c r="S310" s="14">
        <v>3</v>
      </c>
      <c r="T310" s="14"/>
      <c r="U310" s="14"/>
      <c r="V310" s="21" t="s">
        <v>97</v>
      </c>
      <c r="W310" s="17">
        <v>0.5</v>
      </c>
      <c r="X310" s="17">
        <v>0.35</v>
      </c>
      <c r="Y310" s="17">
        <v>0.35</v>
      </c>
      <c r="Z310" s="17">
        <v>0.95</v>
      </c>
      <c r="AA310" s="18" t="b">
        <f>TRUE()</f>
        <v>1</v>
      </c>
      <c r="AB310" s="18" t="s">
        <v>246</v>
      </c>
      <c r="AC310" s="19">
        <v>0.51500000000000001</v>
      </c>
      <c r="AD310" s="19">
        <v>0.39400000000000002</v>
      </c>
      <c r="AE310" s="19">
        <v>9.0999999999999998E-2</v>
      </c>
      <c r="AF310" s="19">
        <v>0</v>
      </c>
      <c r="AG310" s="19">
        <v>0</v>
      </c>
      <c r="AH310" s="19">
        <v>0</v>
      </c>
      <c r="AI310" s="19">
        <v>0</v>
      </c>
      <c r="AJ310" s="19">
        <v>0</v>
      </c>
      <c r="AK310" s="18" t="s">
        <v>333</v>
      </c>
      <c r="AL310">
        <v>0.17</v>
      </c>
      <c r="AM310">
        <v>0</v>
      </c>
      <c r="AN310">
        <v>0.33</v>
      </c>
      <c r="AO310">
        <v>0.83</v>
      </c>
      <c r="AP310">
        <v>0.33</v>
      </c>
      <c r="AQ310">
        <v>0.33</v>
      </c>
      <c r="AR310">
        <v>0.14000000000000001</v>
      </c>
      <c r="BF310" t="s">
        <v>247</v>
      </c>
      <c r="BG310" t="s">
        <v>248</v>
      </c>
      <c r="BH310" t="s">
        <v>249</v>
      </c>
      <c r="BI310" t="s">
        <v>853</v>
      </c>
      <c r="BJ310">
        <v>0.5</v>
      </c>
    </row>
    <row r="311" spans="1:62" ht="30" customHeight="1" x14ac:dyDescent="0.2">
      <c r="A311" s="25" t="s">
        <v>2180</v>
      </c>
      <c r="B311" s="21" t="s">
        <v>1308</v>
      </c>
      <c r="C311" s="22">
        <v>2016</v>
      </c>
      <c r="D311" s="21" t="s">
        <v>1309</v>
      </c>
      <c r="E311" s="21" t="s">
        <v>231</v>
      </c>
      <c r="F311" s="21" t="s">
        <v>447</v>
      </c>
      <c r="G311" s="21" t="s">
        <v>293</v>
      </c>
      <c r="H311" s="21" t="s">
        <v>91</v>
      </c>
      <c r="I311" s="21" t="s">
        <v>2183</v>
      </c>
      <c r="J311" s="21" t="s">
        <v>718</v>
      </c>
      <c r="K311" s="21" t="s">
        <v>1302</v>
      </c>
      <c r="L311" s="21" t="s">
        <v>2177</v>
      </c>
      <c r="M311" s="23" t="s">
        <v>1310</v>
      </c>
      <c r="N311" s="21" t="s">
        <v>192</v>
      </c>
      <c r="O311" s="21" t="s">
        <v>1311</v>
      </c>
      <c r="P311" s="21"/>
      <c r="Q311" s="21" t="s">
        <v>2184</v>
      </c>
      <c r="R311" s="21"/>
      <c r="S311" s="21">
        <v>3</v>
      </c>
      <c r="T311" s="21" t="s">
        <v>1312</v>
      </c>
      <c r="U311" s="21" t="s">
        <v>2176</v>
      </c>
      <c r="V311" s="21" t="s">
        <v>1305</v>
      </c>
      <c r="W311" s="17">
        <v>0.5</v>
      </c>
      <c r="X311" s="17">
        <v>0.35</v>
      </c>
      <c r="Y311" s="17">
        <v>0.35</v>
      </c>
      <c r="Z311" s="17">
        <v>0.95</v>
      </c>
      <c r="AA311" s="18" t="b">
        <f>TRUE()</f>
        <v>1</v>
      </c>
      <c r="AB311" s="18" t="s">
        <v>246</v>
      </c>
      <c r="AC311" s="19">
        <v>0.66700000000000004</v>
      </c>
      <c r="AD311" s="19">
        <v>0.33300000000000002</v>
      </c>
      <c r="AE311" s="19">
        <v>0</v>
      </c>
      <c r="AF311" s="19">
        <v>0</v>
      </c>
      <c r="AG311" s="19">
        <v>0</v>
      </c>
      <c r="AH311" s="19">
        <v>0</v>
      </c>
      <c r="AI311" s="19">
        <v>0</v>
      </c>
      <c r="AJ311" s="19">
        <v>0</v>
      </c>
      <c r="AK311" s="18" t="s">
        <v>333</v>
      </c>
      <c r="AL311">
        <v>1</v>
      </c>
      <c r="AM311">
        <v>1</v>
      </c>
      <c r="AN311">
        <f>(AW311+AZ311+BC311)/3</f>
        <v>0.61</v>
      </c>
      <c r="AO311">
        <f>(AX311+BA311+BD311)/3</f>
        <v>0.61</v>
      </c>
      <c r="AP311">
        <f>(AY311+BB311+BE311)/3</f>
        <v>0.33</v>
      </c>
      <c r="AQ311">
        <v>0.17</v>
      </c>
      <c r="AR311">
        <v>0.14000000000000001</v>
      </c>
      <c r="AT311" s="86" t="s">
        <v>2189</v>
      </c>
      <c r="AV311" s="86" t="s">
        <v>2190</v>
      </c>
      <c r="AW311">
        <v>0.33</v>
      </c>
      <c r="AX311">
        <v>0.83</v>
      </c>
      <c r="AY311">
        <v>0.33</v>
      </c>
      <c r="AZ311">
        <v>0.5</v>
      </c>
      <c r="BA311">
        <v>0.83</v>
      </c>
      <c r="BB311">
        <v>0.33</v>
      </c>
      <c r="BC311">
        <v>1</v>
      </c>
      <c r="BD311">
        <v>0.17</v>
      </c>
      <c r="BE311">
        <v>0.33</v>
      </c>
      <c r="BF311" t="s">
        <v>247</v>
      </c>
      <c r="BG311" s="86" t="s">
        <v>615</v>
      </c>
      <c r="BH311" s="86" t="s">
        <v>2034</v>
      </c>
      <c r="BI311" s="2" t="s">
        <v>1313</v>
      </c>
      <c r="BJ311">
        <v>0</v>
      </c>
    </row>
    <row r="312" spans="1:62" ht="30" customHeight="1" x14ac:dyDescent="0.2">
      <c r="A312" s="20" t="s">
        <v>594</v>
      </c>
      <c r="B312" s="21" t="s">
        <v>586</v>
      </c>
      <c r="C312" s="22" t="s">
        <v>148</v>
      </c>
      <c r="D312" s="21" t="s">
        <v>595</v>
      </c>
      <c r="E312" s="21" t="s">
        <v>524</v>
      </c>
      <c r="F312" s="21" t="s">
        <v>588</v>
      </c>
      <c r="G312" s="21" t="s">
        <v>261</v>
      </c>
      <c r="H312" s="21" t="s">
        <v>91</v>
      </c>
      <c r="I312" s="21"/>
      <c r="J312" s="21" t="s">
        <v>589</v>
      </c>
      <c r="K312" s="21" t="s">
        <v>590</v>
      </c>
      <c r="L312" s="21"/>
      <c r="M312" s="23" t="s">
        <v>596</v>
      </c>
      <c r="N312" s="21" t="s">
        <v>199</v>
      </c>
      <c r="O312" s="21" t="s">
        <v>592</v>
      </c>
      <c r="P312" s="21"/>
      <c r="Q312" s="21"/>
      <c r="R312" s="21"/>
      <c r="S312" s="21">
        <v>4</v>
      </c>
      <c r="T312" s="21"/>
      <c r="U312" s="21"/>
      <c r="V312" s="21" t="s">
        <v>97</v>
      </c>
      <c r="W312" s="17">
        <v>0.84</v>
      </c>
      <c r="X312" s="17">
        <v>0.67</v>
      </c>
      <c r="Y312" s="17">
        <v>0.42</v>
      </c>
      <c r="Z312" s="17">
        <v>0.88</v>
      </c>
      <c r="AA312" s="18" t="b">
        <f>TRUE()</f>
        <v>1</v>
      </c>
      <c r="AB312" s="18" t="s">
        <v>246</v>
      </c>
      <c r="AC312" s="19">
        <v>0</v>
      </c>
      <c r="AD312" s="19">
        <v>0</v>
      </c>
      <c r="AE312" s="19">
        <v>0.6</v>
      </c>
      <c r="AF312" s="19">
        <v>0.17799999999999999</v>
      </c>
      <c r="AG312" s="19">
        <v>0.13300000000000001</v>
      </c>
      <c r="AH312" s="19">
        <v>8.8999999999999996E-2</v>
      </c>
      <c r="AI312" s="19">
        <v>0</v>
      </c>
      <c r="AJ312" s="19">
        <v>0</v>
      </c>
      <c r="AK312" s="18" t="s">
        <v>342</v>
      </c>
      <c r="AL312">
        <v>0.67</v>
      </c>
      <c r="AM312">
        <v>0.28999999999999998</v>
      </c>
      <c r="AN312">
        <v>0.33</v>
      </c>
      <c r="AO312">
        <v>1</v>
      </c>
      <c r="AP312">
        <v>0.5</v>
      </c>
      <c r="AQ312">
        <v>0.5</v>
      </c>
      <c r="AR312">
        <v>0.56999999999999995</v>
      </c>
      <c r="BF312" t="s">
        <v>247</v>
      </c>
      <c r="BG312" t="s">
        <v>265</v>
      </c>
      <c r="BH312" t="s">
        <v>249</v>
      </c>
      <c r="BI312" t="s">
        <v>597</v>
      </c>
      <c r="BJ312">
        <v>1</v>
      </c>
    </row>
    <row r="313" spans="1:62" ht="30" customHeight="1" x14ac:dyDescent="0.2">
      <c r="A313" s="13" t="s">
        <v>585</v>
      </c>
      <c r="B313" s="14" t="s">
        <v>586</v>
      </c>
      <c r="C313" s="15" t="s">
        <v>148</v>
      </c>
      <c r="D313" s="14" t="s">
        <v>587</v>
      </c>
      <c r="E313" s="14" t="s">
        <v>524</v>
      </c>
      <c r="F313" s="14" t="s">
        <v>588</v>
      </c>
      <c r="G313" s="14" t="s">
        <v>261</v>
      </c>
      <c r="H313" s="14" t="s">
        <v>91</v>
      </c>
      <c r="I313" s="14"/>
      <c r="J313" s="14" t="s">
        <v>589</v>
      </c>
      <c r="K313" s="14" t="s">
        <v>590</v>
      </c>
      <c r="L313" s="14"/>
      <c r="M313" s="16" t="s">
        <v>591</v>
      </c>
      <c r="N313" s="14" t="s">
        <v>199</v>
      </c>
      <c r="O313" s="14" t="s">
        <v>592</v>
      </c>
      <c r="P313" s="14"/>
      <c r="Q313" s="14"/>
      <c r="R313" s="14"/>
      <c r="S313" s="14">
        <v>4</v>
      </c>
      <c r="T313" s="14"/>
      <c r="U313" s="14"/>
      <c r="V313" s="21" t="s">
        <v>97</v>
      </c>
      <c r="W313" s="17">
        <v>0.84</v>
      </c>
      <c r="X313" s="17">
        <v>0.67</v>
      </c>
      <c r="Y313" s="17">
        <v>0.42</v>
      </c>
      <c r="Z313" s="17">
        <v>0.88</v>
      </c>
      <c r="AA313" s="18" t="b">
        <f>TRUE()</f>
        <v>1</v>
      </c>
      <c r="AB313" s="18" t="s">
        <v>246</v>
      </c>
      <c r="AC313" s="19">
        <v>0</v>
      </c>
      <c r="AD313" s="19">
        <v>0</v>
      </c>
      <c r="AE313" s="19">
        <v>0.6</v>
      </c>
      <c r="AF313" s="19">
        <v>0.17799999999999999</v>
      </c>
      <c r="AG313" s="19">
        <v>0.13300000000000001</v>
      </c>
      <c r="AH313" s="19">
        <v>8.8999999999999996E-2</v>
      </c>
      <c r="AI313" s="19">
        <v>0</v>
      </c>
      <c r="AJ313" s="19">
        <v>0</v>
      </c>
      <c r="AK313" s="18" t="s">
        <v>342</v>
      </c>
      <c r="AL313">
        <v>0.67</v>
      </c>
      <c r="AM313">
        <v>0.56999999999999995</v>
      </c>
      <c r="AN313">
        <v>0.67</v>
      </c>
      <c r="AO313">
        <v>0.67</v>
      </c>
      <c r="AP313">
        <v>0.5</v>
      </c>
      <c r="AQ313">
        <v>0.5</v>
      </c>
      <c r="AR313">
        <v>0.56999999999999995</v>
      </c>
      <c r="BF313" t="s">
        <v>247</v>
      </c>
      <c r="BG313" t="s">
        <v>265</v>
      </c>
      <c r="BH313" t="s">
        <v>249</v>
      </c>
      <c r="BI313" t="s">
        <v>593</v>
      </c>
      <c r="BJ313">
        <v>0.5</v>
      </c>
    </row>
    <row r="314" spans="1:62" ht="30" customHeight="1" x14ac:dyDescent="0.2">
      <c r="A314" s="20" t="s">
        <v>647</v>
      </c>
      <c r="B314" s="21" t="s">
        <v>648</v>
      </c>
      <c r="C314" s="22" t="s">
        <v>167</v>
      </c>
      <c r="D314" s="21" t="s">
        <v>649</v>
      </c>
      <c r="E314" s="21" t="s">
        <v>524</v>
      </c>
      <c r="F314" s="21" t="s">
        <v>644</v>
      </c>
      <c r="G314" s="21" t="s">
        <v>403</v>
      </c>
      <c r="H314" s="21" t="s">
        <v>241</v>
      </c>
      <c r="I314" s="21"/>
      <c r="J314" s="21" t="s">
        <v>537</v>
      </c>
      <c r="K314" s="21" t="s">
        <v>204</v>
      </c>
      <c r="L314" s="21"/>
      <c r="M314" s="23" t="s">
        <v>650</v>
      </c>
      <c r="N314" s="21" t="s">
        <v>199</v>
      </c>
      <c r="O314" s="21" t="s">
        <v>271</v>
      </c>
      <c r="P314" s="21"/>
      <c r="Q314" s="21"/>
      <c r="R314" s="21"/>
      <c r="S314" s="21">
        <v>3</v>
      </c>
      <c r="T314" s="21"/>
      <c r="U314" s="21"/>
      <c r="V314" s="21" t="s">
        <v>97</v>
      </c>
      <c r="W314" s="17">
        <v>0.55000000000000004</v>
      </c>
      <c r="X314" s="17">
        <v>0.35</v>
      </c>
      <c r="Y314" s="17">
        <v>0.55000000000000004</v>
      </c>
      <c r="Z314" s="17">
        <v>0.8</v>
      </c>
      <c r="AA314" s="18" t="b">
        <f>TRUE()</f>
        <v>1</v>
      </c>
      <c r="AB314" s="18" t="s">
        <v>246</v>
      </c>
      <c r="AC314" s="19">
        <v>0</v>
      </c>
      <c r="AD314" s="19">
        <v>0</v>
      </c>
      <c r="AE314" s="19">
        <v>7.0999999999999994E-2</v>
      </c>
      <c r="AF314" s="19">
        <v>4.8000000000000001E-2</v>
      </c>
      <c r="AG314" s="19">
        <v>0.214</v>
      </c>
      <c r="AH314" s="19">
        <v>0.42899999999999999</v>
      </c>
      <c r="AI314" s="19">
        <v>0</v>
      </c>
      <c r="AJ314" s="19">
        <v>0.23799999999999999</v>
      </c>
      <c r="AK314" s="18" t="s">
        <v>193</v>
      </c>
      <c r="AL314">
        <v>0.67</v>
      </c>
      <c r="AM314">
        <v>0.28999999999999998</v>
      </c>
      <c r="AN314">
        <v>0</v>
      </c>
      <c r="AO314">
        <v>0</v>
      </c>
      <c r="AP314">
        <v>0</v>
      </c>
      <c r="AQ314">
        <v>0.67</v>
      </c>
      <c r="AR314">
        <v>0.43</v>
      </c>
      <c r="BF314" t="s">
        <v>247</v>
      </c>
      <c r="BG314" t="s">
        <v>248</v>
      </c>
      <c r="BH314" t="s">
        <v>249</v>
      </c>
      <c r="BI314" t="s">
        <v>651</v>
      </c>
    </row>
    <row r="315" spans="1:62" ht="30" customHeight="1" x14ac:dyDescent="0.2">
      <c r="A315" s="13" t="s">
        <v>628</v>
      </c>
      <c r="B315" s="14" t="s">
        <v>629</v>
      </c>
      <c r="C315" s="15" t="s">
        <v>180</v>
      </c>
      <c r="D315" s="14" t="s">
        <v>630</v>
      </c>
      <c r="E315" s="14" t="s">
        <v>524</v>
      </c>
      <c r="F315" s="14" t="s">
        <v>631</v>
      </c>
      <c r="G315" s="14" t="s">
        <v>261</v>
      </c>
      <c r="H315" s="14" t="s">
        <v>91</v>
      </c>
      <c r="I315" s="14"/>
      <c r="J315" s="14" t="s">
        <v>589</v>
      </c>
      <c r="K315" s="14" t="s">
        <v>204</v>
      </c>
      <c r="L315" s="14"/>
      <c r="M315" s="16" t="s">
        <v>632</v>
      </c>
      <c r="N315" s="14" t="s">
        <v>199</v>
      </c>
      <c r="O315" s="14" t="s">
        <v>271</v>
      </c>
      <c r="P315" s="14"/>
      <c r="Q315" s="14"/>
      <c r="R315" s="14"/>
      <c r="S315" s="14">
        <v>4</v>
      </c>
      <c r="T315" s="14"/>
      <c r="U315" s="14"/>
      <c r="V315" s="21" t="s">
        <v>97</v>
      </c>
      <c r="W315" s="17">
        <v>0.71</v>
      </c>
      <c r="X315" s="17">
        <v>0.61</v>
      </c>
      <c r="Y315" s="17">
        <v>0.15</v>
      </c>
      <c r="Z315" s="17">
        <v>0.87</v>
      </c>
      <c r="AA315" s="18" t="b">
        <f>TRUE()</f>
        <v>1</v>
      </c>
      <c r="AB315" s="18" t="s">
        <v>246</v>
      </c>
      <c r="AC315" s="19">
        <v>0</v>
      </c>
      <c r="AD315" s="19">
        <v>0</v>
      </c>
      <c r="AE315" s="19">
        <v>0.34200000000000003</v>
      </c>
      <c r="AF315" s="19">
        <v>5.2999999999999999E-2</v>
      </c>
      <c r="AG315" s="19">
        <v>7.9000000000000001E-2</v>
      </c>
      <c r="AH315" s="19">
        <v>0.47399999999999998</v>
      </c>
      <c r="AI315" s="19">
        <v>0</v>
      </c>
      <c r="AJ315" s="19">
        <v>5.2999999999999999E-2</v>
      </c>
      <c r="AK315" s="18" t="s">
        <v>193</v>
      </c>
      <c r="AL315">
        <v>0.67</v>
      </c>
      <c r="AM315">
        <v>0.56999999999999995</v>
      </c>
      <c r="AN315">
        <v>0.33</v>
      </c>
      <c r="AO315">
        <v>1</v>
      </c>
      <c r="AP315">
        <v>0.5</v>
      </c>
      <c r="AQ315">
        <v>0.67</v>
      </c>
      <c r="AR315">
        <v>0.28999999999999998</v>
      </c>
      <c r="BF315" t="s">
        <v>247</v>
      </c>
      <c r="BG315" t="s">
        <v>248</v>
      </c>
      <c r="BH315" t="s">
        <v>249</v>
      </c>
      <c r="BI315" t="s">
        <v>633</v>
      </c>
      <c r="BJ315">
        <v>0.5</v>
      </c>
    </row>
    <row r="316" spans="1:62" ht="30" customHeight="1" x14ac:dyDescent="0.2">
      <c r="A316" s="20" t="s">
        <v>236</v>
      </c>
      <c r="B316" s="21" t="s">
        <v>237</v>
      </c>
      <c r="C316" s="22" t="s">
        <v>238</v>
      </c>
      <c r="D316" s="21" t="s">
        <v>239</v>
      </c>
      <c r="E316" s="21" t="s">
        <v>231</v>
      </c>
      <c r="F316" s="21" t="s">
        <v>232</v>
      </c>
      <c r="G316" s="21" t="s">
        <v>240</v>
      </c>
      <c r="H316" s="21" t="s">
        <v>241</v>
      </c>
      <c r="I316" s="21"/>
      <c r="J316" s="21" t="s">
        <v>242</v>
      </c>
      <c r="K316" s="21" t="s">
        <v>233</v>
      </c>
      <c r="L316" s="21"/>
      <c r="M316" s="23" t="s">
        <v>243</v>
      </c>
      <c r="N316" s="21" t="s">
        <v>235</v>
      </c>
      <c r="O316" s="21" t="s">
        <v>244</v>
      </c>
      <c r="P316" s="21"/>
      <c r="Q316" s="21"/>
      <c r="R316" s="21"/>
      <c r="S316" s="21">
        <v>3</v>
      </c>
      <c r="T316" s="21" t="s">
        <v>245</v>
      </c>
      <c r="U316" s="21"/>
      <c r="V316" s="21" t="s">
        <v>97</v>
      </c>
      <c r="W316" s="17">
        <v>0.4</v>
      </c>
      <c r="X316" s="17">
        <v>0.35</v>
      </c>
      <c r="Y316" s="17">
        <v>0.55000000000000004</v>
      </c>
      <c r="Z316" s="17">
        <v>0.15</v>
      </c>
      <c r="AA316" s="18" t="b">
        <f>TRUE()</f>
        <v>1</v>
      </c>
      <c r="AB316" s="18" t="s">
        <v>246</v>
      </c>
      <c r="AC316" s="19">
        <v>0</v>
      </c>
      <c r="AD316" s="19">
        <v>0</v>
      </c>
      <c r="AE316" s="19">
        <v>0</v>
      </c>
      <c r="AF316" s="19">
        <v>0</v>
      </c>
      <c r="AG316" s="19">
        <v>0</v>
      </c>
      <c r="AH316" s="19">
        <v>0.57099999999999995</v>
      </c>
      <c r="AI316" s="19">
        <v>0.42899999999999999</v>
      </c>
      <c r="AJ316" s="19">
        <v>0</v>
      </c>
      <c r="AK316" s="18" t="s">
        <v>193</v>
      </c>
      <c r="AL316">
        <v>0.17</v>
      </c>
      <c r="AM316">
        <v>0</v>
      </c>
      <c r="AN316">
        <v>0.33</v>
      </c>
      <c r="AO316">
        <v>0.17</v>
      </c>
      <c r="AP316">
        <v>0.5</v>
      </c>
      <c r="AQ316">
        <v>0.17</v>
      </c>
      <c r="AR316">
        <v>0</v>
      </c>
      <c r="BF316" t="s">
        <v>247</v>
      </c>
      <c r="BG316" t="s">
        <v>248</v>
      </c>
      <c r="BH316" t="s">
        <v>249</v>
      </c>
      <c r="BI316" t="s">
        <v>250</v>
      </c>
      <c r="BJ316">
        <v>0</v>
      </c>
    </row>
    <row r="317" spans="1:62" ht="30" customHeight="1" x14ac:dyDescent="0.2">
      <c r="A317" s="20" t="s">
        <v>301</v>
      </c>
      <c r="B317" s="21" t="s">
        <v>302</v>
      </c>
      <c r="C317" s="22" t="s">
        <v>303</v>
      </c>
      <c r="D317" s="21" t="s">
        <v>304</v>
      </c>
      <c r="E317" s="21" t="s">
        <v>231</v>
      </c>
      <c r="F317" s="21" t="s">
        <v>232</v>
      </c>
      <c r="G317" s="21" t="s">
        <v>305</v>
      </c>
      <c r="H317" s="21" t="s">
        <v>306</v>
      </c>
      <c r="I317" s="21"/>
      <c r="J317" s="21" t="s">
        <v>269</v>
      </c>
      <c r="K317" s="21" t="s">
        <v>93</v>
      </c>
      <c r="L317" s="21"/>
      <c r="M317" s="23" t="s">
        <v>307</v>
      </c>
      <c r="N317" s="21" t="s">
        <v>235</v>
      </c>
      <c r="O317" s="21" t="s">
        <v>308</v>
      </c>
      <c r="P317" s="21"/>
      <c r="Q317" s="21"/>
      <c r="R317" s="21"/>
      <c r="S317" s="21">
        <v>3</v>
      </c>
      <c r="T317" s="21" t="s">
        <v>309</v>
      </c>
      <c r="U317" s="21"/>
      <c r="V317" s="21" t="s">
        <v>97</v>
      </c>
      <c r="W317" s="17">
        <v>0.4</v>
      </c>
      <c r="X317" s="17">
        <v>0.35</v>
      </c>
      <c r="Y317" s="17">
        <v>0.65</v>
      </c>
      <c r="Z317" s="17">
        <v>0.25</v>
      </c>
      <c r="AA317" s="18" t="b">
        <f>TRUE()</f>
        <v>1</v>
      </c>
      <c r="AB317" s="18" t="s">
        <v>246</v>
      </c>
      <c r="AC317" s="19">
        <v>0.20499999999999999</v>
      </c>
      <c r="AD317" s="19">
        <v>0.40899999999999997</v>
      </c>
      <c r="AE317" s="19">
        <v>0</v>
      </c>
      <c r="AF317" s="19">
        <v>6.8000000000000005E-2</v>
      </c>
      <c r="AG317" s="19">
        <v>0</v>
      </c>
      <c r="AH317" s="19">
        <v>0.182</v>
      </c>
      <c r="AI317" s="19">
        <v>0.13600000000000001</v>
      </c>
      <c r="AJ317" s="19">
        <v>0</v>
      </c>
      <c r="AK317" s="18" t="s">
        <v>89</v>
      </c>
      <c r="AL317">
        <v>0.67</v>
      </c>
      <c r="AM317">
        <v>1</v>
      </c>
      <c r="AN317">
        <v>0.5</v>
      </c>
      <c r="AO317">
        <v>1</v>
      </c>
      <c r="AP317">
        <v>0.83</v>
      </c>
      <c r="AQ317">
        <v>0.33</v>
      </c>
      <c r="AR317">
        <v>0.56999999999999995</v>
      </c>
      <c r="BF317" t="s">
        <v>247</v>
      </c>
      <c r="BG317" t="s">
        <v>248</v>
      </c>
      <c r="BH317" t="s">
        <v>249</v>
      </c>
      <c r="BI317" t="s">
        <v>310</v>
      </c>
      <c r="BJ317">
        <v>0.5</v>
      </c>
    </row>
    <row r="318" spans="1:62" ht="30" customHeight="1" x14ac:dyDescent="0.2">
      <c r="A318" s="25" t="s">
        <v>960</v>
      </c>
      <c r="B318" s="25"/>
      <c r="C318" s="25"/>
      <c r="D318" s="25"/>
      <c r="E318" s="25"/>
      <c r="F318" s="25"/>
      <c r="G318" s="25"/>
      <c r="H318" s="25"/>
      <c r="I318" s="25"/>
      <c r="J318" s="25"/>
      <c r="K318" s="25"/>
      <c r="L318" s="25"/>
      <c r="M318" s="25"/>
      <c r="N318" s="25"/>
      <c r="O318" s="25"/>
      <c r="P318" s="25"/>
      <c r="Q318" s="25"/>
      <c r="R318" s="25"/>
      <c r="S318" s="25"/>
      <c r="T318" s="25"/>
      <c r="U318" s="25"/>
      <c r="V318" s="25"/>
      <c r="W318" s="17">
        <v>0.4</v>
      </c>
      <c r="X318" s="17">
        <v>0.4</v>
      </c>
      <c r="Y318" s="17">
        <v>0.35</v>
      </c>
      <c r="Z318" s="17">
        <v>0.5</v>
      </c>
      <c r="AA318" s="18" t="b">
        <f>TRUE()</f>
        <v>1</v>
      </c>
      <c r="AB318" s="18" t="s">
        <v>246</v>
      </c>
      <c r="AC318" s="19">
        <v>0.125</v>
      </c>
      <c r="AD318" s="19">
        <v>0.125</v>
      </c>
      <c r="AE318" s="19">
        <v>0.125</v>
      </c>
      <c r="AF318" s="19">
        <v>0.125</v>
      </c>
      <c r="AG318" s="19">
        <v>0.125</v>
      </c>
      <c r="AH318" s="19">
        <v>0.125</v>
      </c>
      <c r="AI318" s="19">
        <v>0.125</v>
      </c>
      <c r="AJ318" s="19">
        <v>0.125</v>
      </c>
      <c r="AK318" s="18" t="s">
        <v>333</v>
      </c>
      <c r="BF318" t="s">
        <v>99</v>
      </c>
      <c r="BH318" t="s">
        <v>334</v>
      </c>
      <c r="BI318" t="s">
        <v>1269</v>
      </c>
    </row>
    <row r="319" spans="1:62" ht="30" customHeight="1" x14ac:dyDescent="0.2">
      <c r="A319" s="25" t="s">
        <v>1329</v>
      </c>
      <c r="B319" s="25"/>
      <c r="C319" s="25"/>
      <c r="D319" s="25"/>
      <c r="E319" s="25"/>
      <c r="F319" s="25"/>
      <c r="G319" s="25"/>
      <c r="H319" s="25"/>
      <c r="I319" s="25"/>
      <c r="J319" s="25"/>
      <c r="K319" s="25"/>
      <c r="L319" s="25"/>
      <c r="M319" s="25"/>
      <c r="N319" s="25"/>
      <c r="O319" s="25"/>
      <c r="P319" s="25"/>
      <c r="Q319" s="25"/>
      <c r="R319" s="25"/>
      <c r="S319" s="25"/>
      <c r="T319" s="25"/>
      <c r="U319" s="25"/>
      <c r="V319" s="25"/>
      <c r="W319" s="17">
        <v>0.4</v>
      </c>
      <c r="X319" s="17">
        <v>0.4</v>
      </c>
      <c r="Y319" s="17">
        <v>0.35</v>
      </c>
      <c r="Z319" s="17">
        <v>0.5</v>
      </c>
      <c r="AA319" s="18" t="b">
        <f>TRUE()</f>
        <v>1</v>
      </c>
      <c r="AB319" s="18" t="s">
        <v>246</v>
      </c>
      <c r="AC319" s="19">
        <v>0.125</v>
      </c>
      <c r="AD319" s="19">
        <v>0.125</v>
      </c>
      <c r="AE319" s="19">
        <v>0.125</v>
      </c>
      <c r="AF319" s="19">
        <v>0.125</v>
      </c>
      <c r="AG319" s="19">
        <v>0.125</v>
      </c>
      <c r="AH319" s="19">
        <v>0.125</v>
      </c>
      <c r="AI319" s="19">
        <v>0.125</v>
      </c>
      <c r="AJ319" s="19">
        <v>0.125</v>
      </c>
      <c r="AK319" s="18" t="s">
        <v>333</v>
      </c>
      <c r="BF319" t="s">
        <v>99</v>
      </c>
      <c r="BH319" t="s">
        <v>334</v>
      </c>
      <c r="BI319" t="s">
        <v>1269</v>
      </c>
    </row>
    <row r="320" spans="1:62"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row>
    <row r="404" spans="1:22"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row>
    <row r="405" spans="1:22"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row>
    <row r="406" spans="1:22"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row>
    <row r="407" spans="1:22"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row>
    <row r="408" spans="1:22"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row>
    <row r="409" spans="1:22"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row>
    <row r="410" spans="1:22"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row>
    <row r="411" spans="1:22"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row>
    <row r="412" spans="1:22"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row>
    <row r="413" spans="1:22"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row>
    <row r="414" spans="1:22"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row>
    <row r="415" spans="1:22"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row>
    <row r="416" spans="1:22"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row>
    <row r="417" spans="1:22"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row>
    <row r="418" spans="1:22"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row>
    <row r="419" spans="1:22"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row>
    <row r="420" spans="1:22"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row>
    <row r="421" spans="1:22"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row>
    <row r="422" spans="1:22"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row>
    <row r="423" spans="1:22"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row>
    <row r="424" spans="1:22"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row>
    <row r="425" spans="1:22"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row>
    <row r="426" spans="1:22"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row>
    <row r="427" spans="1:22"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row>
    <row r="428" spans="1:22"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row>
    <row r="429" spans="1:22"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row>
    <row r="430" spans="1:22"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row>
    <row r="431" spans="1:22"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row>
    <row r="432" spans="1:22"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row>
    <row r="433" spans="1:22"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row>
    <row r="434" spans="1:22"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row>
    <row r="435" spans="1:22"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row>
    <row r="436" spans="1:22"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row>
    <row r="437" spans="1:22"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row>
    <row r="438" spans="1:22"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row>
    <row r="439" spans="1:22"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row>
    <row r="440" spans="1:22"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row>
    <row r="441" spans="1:22"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row>
    <row r="442" spans="1:22"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row>
    <row r="443" spans="1:22"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row>
    <row r="444" spans="1:22"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row>
    <row r="445" spans="1:22"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row>
    <row r="446" spans="1:22"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row>
    <row r="447" spans="1:22"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row>
    <row r="448" spans="1:22"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row>
    <row r="449" spans="1:22"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row>
    <row r="450" spans="1:22"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row>
    <row r="451" spans="1:22"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row>
    <row r="452" spans="1:22"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row>
    <row r="453" spans="1:22"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row>
    <row r="454" spans="1:22"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row>
    <row r="455" spans="1:22"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row>
    <row r="456" spans="1:22"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row>
    <row r="457" spans="1:22"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row>
    <row r="458" spans="1:22"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row>
    <row r="459" spans="1:22"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row>
    <row r="460" spans="1:22"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row>
    <row r="461" spans="1:22"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row>
    <row r="462" spans="1:22"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row>
    <row r="463" spans="1:22"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row>
    <row r="464" spans="1:22"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row>
    <row r="465" spans="1:22"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row>
    <row r="466" spans="1:22"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row>
    <row r="467" spans="1:22"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row>
    <row r="468" spans="1:22"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row>
    <row r="469" spans="1:22"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row>
    <row r="470" spans="1:22"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row>
    <row r="471" spans="1:22"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row>
    <row r="472" spans="1:22"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row>
    <row r="473" spans="1:22"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row>
    <row r="474" spans="1:22"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row>
    <row r="475" spans="1:22"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row>
    <row r="476" spans="1:22"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row>
    <row r="477" spans="1:22"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row>
    <row r="478" spans="1:22"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row>
    <row r="479" spans="1:22"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row>
    <row r="480" spans="1:22"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row>
    <row r="481" spans="1:22"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row>
    <row r="482" spans="1:22"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row>
    <row r="483" spans="1:22"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row>
    <row r="484" spans="1:22"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row>
    <row r="485" spans="1:22"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row>
    <row r="486" spans="1:22"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row>
    <row r="487" spans="1:22"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row>
    <row r="488" spans="1:22"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row>
    <row r="489" spans="1:22"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row>
    <row r="490" spans="1:22"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row>
    <row r="491" spans="1:22"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row>
    <row r="492" spans="1:22"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row>
    <row r="493" spans="1:22"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row>
    <row r="494" spans="1:22"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row>
    <row r="495" spans="1:22"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row>
    <row r="496" spans="1:22"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row>
    <row r="497" spans="1:22"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row>
    <row r="498" spans="1:22"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row>
    <row r="499" spans="1:22"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row>
    <row r="500" spans="1:22"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row>
    <row r="501" spans="1:22"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row>
    <row r="502" spans="1:22"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row>
    <row r="503" spans="1:22"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row>
    <row r="504" spans="1:22"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row>
    <row r="505" spans="1:22"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row>
    <row r="506" spans="1:22"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row>
    <row r="507" spans="1:22"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row>
    <row r="508" spans="1:22"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row>
    <row r="509" spans="1:22"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row>
    <row r="510" spans="1:22"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row>
    <row r="511" spans="1:22"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row>
    <row r="512" spans="1:22"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row>
    <row r="513" spans="1:22"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row>
    <row r="514" spans="1:22"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row>
    <row r="515" spans="1:22"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row>
    <row r="516" spans="1:22"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row>
    <row r="517" spans="1:22"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row>
    <row r="518" spans="1:22"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row>
    <row r="519" spans="1:22"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row>
    <row r="520" spans="1:22"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row>
    <row r="521" spans="1:22"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row>
    <row r="522" spans="1:22"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row>
    <row r="523" spans="1:22"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row>
    <row r="524" spans="1:22"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row>
    <row r="525" spans="1:22"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row>
    <row r="526" spans="1:22"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row>
    <row r="527" spans="1:22"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row>
    <row r="528" spans="1:22"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row>
    <row r="529" spans="1:22"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row>
    <row r="530" spans="1:22"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row>
    <row r="531" spans="1:22"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row>
    <row r="532" spans="1:22"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row>
    <row r="533" spans="1:22"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row>
    <row r="534" spans="1:22"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row>
    <row r="535" spans="1:22"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row>
    <row r="536" spans="1:22"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row>
    <row r="537" spans="1:22"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row>
    <row r="538" spans="1:22"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row>
    <row r="539" spans="1:22"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row>
    <row r="540" spans="1:22"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row>
    <row r="541" spans="1:22"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row>
    <row r="542" spans="1:22"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row>
    <row r="543" spans="1:22"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row>
    <row r="544" spans="1:22"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row>
    <row r="545" spans="1:22"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row>
    <row r="546" spans="1:22"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row>
    <row r="547" spans="1:22"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row>
    <row r="548" spans="1:22"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row>
    <row r="549" spans="1:22"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row>
    <row r="550" spans="1:22"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row>
    <row r="551" spans="1:22"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row>
    <row r="552" spans="1:22"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row>
    <row r="553" spans="1:22"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row>
    <row r="554" spans="1:22"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row>
    <row r="555" spans="1:22"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row>
    <row r="556" spans="1:22"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row>
    <row r="557" spans="1:22"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row>
    <row r="558" spans="1:22"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row>
    <row r="559" spans="1:22"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row>
    <row r="560" spans="1:22"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row>
    <row r="561" spans="1:22"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row>
    <row r="562" spans="1:22"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row>
    <row r="563" spans="1:22"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row>
    <row r="564" spans="1:22"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row>
    <row r="565" spans="1:22"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row>
    <row r="566" spans="1:22"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row>
    <row r="567" spans="1:22"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row>
    <row r="568" spans="1:22"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row>
    <row r="569" spans="1:22"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row>
    <row r="570" spans="1:22"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row>
    <row r="571" spans="1:22"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row>
    <row r="572" spans="1:22"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row>
    <row r="573" spans="1:22"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row>
    <row r="574" spans="1:22"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row>
    <row r="575" spans="1:22"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row>
    <row r="576" spans="1:22"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row>
    <row r="577" spans="1:22"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row>
    <row r="578" spans="1:22"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row>
    <row r="579" spans="1:22"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row>
    <row r="580" spans="1:22"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row>
    <row r="581" spans="1:22"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row>
    <row r="582" spans="1:22"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row>
    <row r="583" spans="1:22"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row>
    <row r="584" spans="1:22"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row>
    <row r="585" spans="1:22"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row>
    <row r="586" spans="1:22"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row>
    <row r="587" spans="1:22"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row>
    <row r="588" spans="1:22"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row>
    <row r="589" spans="1:22"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row>
    <row r="590" spans="1:22"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row>
    <row r="591" spans="1:22"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row>
    <row r="592" spans="1:22"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row>
    <row r="593" spans="1:22"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row>
    <row r="594" spans="1:22"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row>
    <row r="595" spans="1:22"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row>
    <row r="596" spans="1:22"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row>
    <row r="597" spans="1:22"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row>
    <row r="598" spans="1:22"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row>
    <row r="599" spans="1:22"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row>
    <row r="600" spans="1:22"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row>
    <row r="601" spans="1:22"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row>
    <row r="602" spans="1:22"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row>
    <row r="603" spans="1:22"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row>
    <row r="604" spans="1:22"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row>
    <row r="605" spans="1:22"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row>
    <row r="606" spans="1:22"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row>
    <row r="607" spans="1:22"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row>
    <row r="608" spans="1:22"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row>
    <row r="609" spans="1:22"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row>
    <row r="610" spans="1:22"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row>
    <row r="611" spans="1:22"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row>
    <row r="612" spans="1:22"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row>
    <row r="613" spans="1:22"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row>
    <row r="614" spans="1:22"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row>
    <row r="615" spans="1:22"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row>
    <row r="616" spans="1:22"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row>
    <row r="617" spans="1:22"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row>
    <row r="618" spans="1:22"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row>
    <row r="619" spans="1:22"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row>
    <row r="620" spans="1:22"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row>
    <row r="621" spans="1:22"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row>
    <row r="622" spans="1:22"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row>
    <row r="623" spans="1:22"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row>
    <row r="624" spans="1:22"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row>
    <row r="625" spans="1:22"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row>
    <row r="626" spans="1:22"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row>
    <row r="627" spans="1:22"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row>
    <row r="628" spans="1:22"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row>
    <row r="629" spans="1:22"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row>
    <row r="630" spans="1:22"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row>
    <row r="631" spans="1:22"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row>
    <row r="632" spans="1:22"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row>
    <row r="633" spans="1:22"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row>
    <row r="634" spans="1:22"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row>
    <row r="635" spans="1:22"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row>
    <row r="636" spans="1:22"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row>
    <row r="637" spans="1:22"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row>
    <row r="638" spans="1:22"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row>
    <row r="639" spans="1:22"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row>
    <row r="640" spans="1:22"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row>
    <row r="641" spans="1:22"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row>
    <row r="642" spans="1:22"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row>
    <row r="643" spans="1:22"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row>
    <row r="644" spans="1:22"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row>
    <row r="645" spans="1:22"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row>
    <row r="646" spans="1:22"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row>
    <row r="647" spans="1:22"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row>
    <row r="648" spans="1:22"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row>
    <row r="649" spans="1:22"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row>
    <row r="650" spans="1:22"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row>
    <row r="651" spans="1:22"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row>
    <row r="652" spans="1:22"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row>
    <row r="653" spans="1:22"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row>
    <row r="654" spans="1:22"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row>
    <row r="655" spans="1:22"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row>
    <row r="656" spans="1:22"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row>
    <row r="657" spans="1:22"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row>
    <row r="658" spans="1:22"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row>
    <row r="659" spans="1:22"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row>
    <row r="660" spans="1:22"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row>
    <row r="661" spans="1:22"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row>
    <row r="662" spans="1:22"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row>
    <row r="663" spans="1:22"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row>
    <row r="664" spans="1:22"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row>
    <row r="665" spans="1:22"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row>
    <row r="666" spans="1:22"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row>
    <row r="667" spans="1:22"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row>
    <row r="668" spans="1:22"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row>
    <row r="669" spans="1:22"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row>
    <row r="670" spans="1:22"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row>
    <row r="671" spans="1:22"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row>
    <row r="672" spans="1:22"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row>
    <row r="673" spans="1:22"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row>
    <row r="674" spans="1:22"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row>
    <row r="675" spans="1:22"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row>
    <row r="676" spans="1:22"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row>
    <row r="677" spans="1:22"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row>
    <row r="678" spans="1:22"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row>
    <row r="679" spans="1:22"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row>
    <row r="680" spans="1:22"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row>
    <row r="681" spans="1:22"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row>
    <row r="682" spans="1:22"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row>
    <row r="683" spans="1:22"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row>
    <row r="684" spans="1:22"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row>
    <row r="685" spans="1:22"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row>
    <row r="686" spans="1:22"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row>
    <row r="687" spans="1:22"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row>
    <row r="688" spans="1:22"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row>
    <row r="689" spans="1:22"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row>
    <row r="690" spans="1:22"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row>
    <row r="691" spans="1:22"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row>
    <row r="692" spans="1:22"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row>
    <row r="693" spans="1:22"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row>
    <row r="694" spans="1:22"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row>
    <row r="695" spans="1:22"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row>
    <row r="696" spans="1:22"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row>
    <row r="697" spans="1:22"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row>
    <row r="698" spans="1:22"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row>
    <row r="699" spans="1:22"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row>
    <row r="700" spans="1:22"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row>
    <row r="701" spans="1:22"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row>
    <row r="702" spans="1:22"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row>
    <row r="703" spans="1:22"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row>
    <row r="704" spans="1:22"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row>
    <row r="705" spans="1:22"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row>
    <row r="706" spans="1:22"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row>
    <row r="707" spans="1:22"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row>
    <row r="708" spans="1:22"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row>
    <row r="709" spans="1:22"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row>
    <row r="710" spans="1:22"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row>
    <row r="711" spans="1:22"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row>
    <row r="712" spans="1:22"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row>
    <row r="713" spans="1:22"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row>
    <row r="714" spans="1:22"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row>
    <row r="715" spans="1:22"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row>
    <row r="716" spans="1:22"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row>
    <row r="717" spans="1:22"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row>
    <row r="718" spans="1:22"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row>
    <row r="719" spans="1:22"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row>
    <row r="720" spans="1:22"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row>
    <row r="721" spans="1:22"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row>
    <row r="722" spans="1:22"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row>
    <row r="723" spans="1:22"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row>
    <row r="724" spans="1:22"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row>
    <row r="725" spans="1:22"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row>
    <row r="726" spans="1:22"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row>
    <row r="727" spans="1:22"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row>
    <row r="728" spans="1:22"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row>
    <row r="729" spans="1:22"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row>
    <row r="730" spans="1:22"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row>
    <row r="731" spans="1:22"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row>
    <row r="732" spans="1:22"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row>
    <row r="733" spans="1:22"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row>
    <row r="734" spans="1:22"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row>
    <row r="735" spans="1:22"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row>
    <row r="736" spans="1:22"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row>
    <row r="737" spans="1:22"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row>
    <row r="738" spans="1:22"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row>
    <row r="739" spans="1:22"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row>
    <row r="740" spans="1:22"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row>
    <row r="741" spans="1:22"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row>
    <row r="742" spans="1:22"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row>
    <row r="743" spans="1:22"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row>
    <row r="744" spans="1:22"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row>
    <row r="745" spans="1:22"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row>
    <row r="746" spans="1:22"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row>
    <row r="747" spans="1:22"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row>
    <row r="748" spans="1:22"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row>
    <row r="749" spans="1:22"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row>
    <row r="750" spans="1:22"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row>
    <row r="751" spans="1:22"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row>
    <row r="752" spans="1:22"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row>
    <row r="753" spans="1:22"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row>
    <row r="754" spans="1:22"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row>
    <row r="755" spans="1:22"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row>
    <row r="756" spans="1:22"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row>
    <row r="757" spans="1:22"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row>
    <row r="758" spans="1:22"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row>
    <row r="759" spans="1:22"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row>
    <row r="760" spans="1:22"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row>
    <row r="761" spans="1:22"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row>
    <row r="762" spans="1:22"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row>
    <row r="763" spans="1:22"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row>
    <row r="764" spans="1:22"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row>
    <row r="765" spans="1:22"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row>
    <row r="766" spans="1:22"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row>
    <row r="767" spans="1:22"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row>
    <row r="768" spans="1:22"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row>
    <row r="769" spans="1:22"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row>
    <row r="770" spans="1:22"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row>
    <row r="771" spans="1:22"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row>
    <row r="772" spans="1:22"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row>
    <row r="773" spans="1:22"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row>
    <row r="774" spans="1:22"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row>
    <row r="775" spans="1:22"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row>
    <row r="776" spans="1:22"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row>
    <row r="777" spans="1:22"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row>
    <row r="778" spans="1:22"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row>
    <row r="779" spans="1:22"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row>
    <row r="780" spans="1:22"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row>
    <row r="781" spans="1:22"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row>
    <row r="782" spans="1:22"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row>
    <row r="783" spans="1:22"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row>
    <row r="784" spans="1:22"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row>
    <row r="785" spans="1:22"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row>
    <row r="786" spans="1:22"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row>
    <row r="787" spans="1:22"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row>
    <row r="788" spans="1:22"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row>
    <row r="789" spans="1:22"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row>
    <row r="790" spans="1:22"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row>
    <row r="791" spans="1:22"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row>
    <row r="792" spans="1:22"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row>
    <row r="793" spans="1:22"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row>
    <row r="794" spans="1:22"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row>
    <row r="795" spans="1:22"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row>
    <row r="796" spans="1:22"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row>
    <row r="797" spans="1:22"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row>
    <row r="798" spans="1:22"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row>
    <row r="799" spans="1:22"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row>
    <row r="800" spans="1:22"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row>
    <row r="801" spans="1:22"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row>
    <row r="802" spans="1:22"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row>
    <row r="803" spans="1:22"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row>
    <row r="804" spans="1:22"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row>
    <row r="805" spans="1:22"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row>
    <row r="806" spans="1:22"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row>
    <row r="807" spans="1:22"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row>
    <row r="808" spans="1:22"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row>
    <row r="809" spans="1:22"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row>
    <row r="810" spans="1:22"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row>
    <row r="811" spans="1:22"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row>
    <row r="812" spans="1:22"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row>
    <row r="813" spans="1:22"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row>
    <row r="814" spans="1:22"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row>
    <row r="815" spans="1:22"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row>
    <row r="816" spans="1:22"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row>
    <row r="817" spans="1:22"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row>
    <row r="818" spans="1:22"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row>
    <row r="819" spans="1:22"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row>
    <row r="820" spans="1:22"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row>
    <row r="821" spans="1:22"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row>
    <row r="822" spans="1:22"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row>
    <row r="823" spans="1:22"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row>
    <row r="824" spans="1:22"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row>
    <row r="825" spans="1:22"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row>
    <row r="826" spans="1:22"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row>
    <row r="827" spans="1:22"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row>
    <row r="828" spans="1:22"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row>
    <row r="829" spans="1:22"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row>
    <row r="830" spans="1:22"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row>
    <row r="831" spans="1:22"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row>
    <row r="832" spans="1:22"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row>
    <row r="833" spans="1:22"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row>
    <row r="834" spans="1:22"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row>
    <row r="835" spans="1:22"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row>
    <row r="836" spans="1:22"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row>
    <row r="837" spans="1:22"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row>
    <row r="838" spans="1:22"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row>
    <row r="839" spans="1:22"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row>
    <row r="840" spans="1:22"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row>
    <row r="841" spans="1:22"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row>
    <row r="842" spans="1:22"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row>
    <row r="843" spans="1:22"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row>
    <row r="844" spans="1:22"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row>
    <row r="845" spans="1:22"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row>
    <row r="846" spans="1:22"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row>
    <row r="847" spans="1:22"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row>
    <row r="848" spans="1:22"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row>
    <row r="849" spans="1:22"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row>
    <row r="850" spans="1:22"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row>
    <row r="851" spans="1:22"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row>
    <row r="852" spans="1:22"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row>
    <row r="853" spans="1:22"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row>
    <row r="854" spans="1:22"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row>
    <row r="855" spans="1:22"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row>
    <row r="856" spans="1:22"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row>
    <row r="857" spans="1:22"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row>
    <row r="858" spans="1:22"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row>
    <row r="859" spans="1:22"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row>
    <row r="860" spans="1:22"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row>
    <row r="861" spans="1:22"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row>
    <row r="862" spans="1:22"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row>
    <row r="863" spans="1:22"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row>
    <row r="864" spans="1:22"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row>
    <row r="865" spans="1:22"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row>
    <row r="866" spans="1:22"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row>
    <row r="867" spans="1:22"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row>
    <row r="868" spans="1:22"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row>
    <row r="869" spans="1:22"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row>
    <row r="870" spans="1:22"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row>
    <row r="871" spans="1:22"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row>
    <row r="872" spans="1:22"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row>
    <row r="873" spans="1:22"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row>
    <row r="874" spans="1:22"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row>
    <row r="875" spans="1:22"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row>
    <row r="876" spans="1:22"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row>
    <row r="877" spans="1:22"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row>
    <row r="878" spans="1:22"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row>
    <row r="879" spans="1:22"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row>
    <row r="880" spans="1:22"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row>
    <row r="881" spans="1:22"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row>
    <row r="882" spans="1:22"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row>
    <row r="883" spans="1:22"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row>
    <row r="884" spans="1:22"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row>
    <row r="885" spans="1:22"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row>
    <row r="886" spans="1:22"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row>
    <row r="887" spans="1:22"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row>
    <row r="888" spans="1:22"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row>
    <row r="889" spans="1:22"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row>
    <row r="890" spans="1:22"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row>
    <row r="891" spans="1:22"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row>
    <row r="892" spans="1:22"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row>
    <row r="893" spans="1:22"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row>
    <row r="894" spans="1:22"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row>
    <row r="895" spans="1:22"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row>
    <row r="896" spans="1:22"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row>
    <row r="897" spans="1:22"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row>
    <row r="898" spans="1:22"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row>
    <row r="899" spans="1:22"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row>
    <row r="900" spans="1:22"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row>
    <row r="901" spans="1:22"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row>
    <row r="902" spans="1:22"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row>
    <row r="903" spans="1:22"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row>
    <row r="904" spans="1:22"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row>
    <row r="905" spans="1:22"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row>
    <row r="906" spans="1:22"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row>
    <row r="907" spans="1:22"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row>
    <row r="908" spans="1:22"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row>
    <row r="909" spans="1:22"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row>
    <row r="910" spans="1:22"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row>
    <row r="911" spans="1:22"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row>
    <row r="912" spans="1:22"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row>
    <row r="913" spans="1:22"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row>
    <row r="914" spans="1:22"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row>
    <row r="915" spans="1:22"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row>
    <row r="916" spans="1:22"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row>
    <row r="917" spans="1:22"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row>
    <row r="918" spans="1:22"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row>
    <row r="919" spans="1:22"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row>
    <row r="920" spans="1:22"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row>
    <row r="921" spans="1:22"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row>
    <row r="922" spans="1:22"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row>
    <row r="923" spans="1:22"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row>
    <row r="924" spans="1:22"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row>
    <row r="925" spans="1:22"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row>
    <row r="926" spans="1:22"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row>
    <row r="927" spans="1:22"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row>
    <row r="928" spans="1:22"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row>
    <row r="929" spans="1:22"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row>
    <row r="930" spans="1:22"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row>
    <row r="931" spans="1:22"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row>
    <row r="932" spans="1:22"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row>
    <row r="933" spans="1:22"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row>
    <row r="934" spans="1:22"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row>
    <row r="935" spans="1:22"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row>
    <row r="936" spans="1:22"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row>
    <row r="937" spans="1:22"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row>
    <row r="938" spans="1:22"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row>
    <row r="939" spans="1:22"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row>
    <row r="940" spans="1:22"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row>
    <row r="941" spans="1:22"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row>
    <row r="942" spans="1:22"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row>
    <row r="943" spans="1:22"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row>
    <row r="944" spans="1:22"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row>
    <row r="945" spans="1:22"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row>
    <row r="946" spans="1:22"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row>
    <row r="947" spans="1:22"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row>
    <row r="948" spans="1:22"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row>
    <row r="949" spans="1:22"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row>
    <row r="950" spans="1:22"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row>
    <row r="951" spans="1:22"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row>
    <row r="952" spans="1:22"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row>
    <row r="953" spans="1:22"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row>
    <row r="954" spans="1:22"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row>
    <row r="955" spans="1:22"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row>
    <row r="956" spans="1:22"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row>
    <row r="957" spans="1:22"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row>
    <row r="958" spans="1:22"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row>
    <row r="959" spans="1:22"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row>
    <row r="960" spans="1:22"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row>
    <row r="961" spans="1:22"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row>
    <row r="962" spans="1:22"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row>
    <row r="963" spans="1:22"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row>
    <row r="964" spans="1:22"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row>
    <row r="965" spans="1:22"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row>
    <row r="966" spans="1:22"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row>
    <row r="967" spans="1:22"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row>
    <row r="968" spans="1:22"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row>
    <row r="969" spans="1:22"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row>
    <row r="970" spans="1:22"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row>
    <row r="971" spans="1:22"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row>
    <row r="972" spans="1:22"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row>
    <row r="973" spans="1:22"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row>
    <row r="974" spans="1:22"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row>
    <row r="975" spans="1:22"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row>
    <row r="976" spans="1:22"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row>
    <row r="977" spans="1:22"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row>
    <row r="978" spans="1:22"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row>
    <row r="979" spans="1:22"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row>
    <row r="980" spans="1:22"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row>
    <row r="981" spans="1:22"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row>
    <row r="982" spans="1:22"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row>
    <row r="983" spans="1:22"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row>
    <row r="984" spans="1:22"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row>
    <row r="985" spans="1:22"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row>
    <row r="986" spans="1:22"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row>
    <row r="987" spans="1:22"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row>
    <row r="988" spans="1:22"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row>
    <row r="989" spans="1:22"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row>
    <row r="990" spans="1:22"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row>
    <row r="991" spans="1:22"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row>
  </sheetData>
  <autoFilter ref="A1:BJ319" xr:uid="{00000000-0001-0000-0100-000000000000}"/>
  <dataValidations count="2">
    <dataValidation type="list" allowBlank="1" sqref="S2:S173 S190 S197:S199 S202:S203 S206:S208 S211 S215:S234 S238 S240 S268:S273 S288 S296:S297 S303:S307 S309:S319" xr:uid="{00000000-0002-0000-0100-000000000000}">
      <formula1>"1,2,3,4,5"</formula1>
      <formula2>0</formula2>
    </dataValidation>
    <dataValidation type="list" allowBlank="1" sqref="Q296:R297 Q179:Q180 Q197:R199 Q202:R203 Q206:R208 Q211:R211 Q215:R234 Q238:R240 Q268:R273 Q288:R288 Q2:R173 Q190:R190 Q303:R307 Q309:R319" xr:uid="{00000000-0002-0000-0100-000001000000}">
      <formula1>"New,To read,Reading,Read,Skim only,Cited"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2"/>
  <sheetViews>
    <sheetView showGridLines="0" topLeftCell="A3" zoomScaleNormal="100" workbookViewId="0">
      <selection activeCell="E8" sqref="E8"/>
    </sheetView>
  </sheetViews>
  <sheetFormatPr baseColWidth="10" defaultColWidth="14.5" defaultRowHeight="15" x14ac:dyDescent="0.2"/>
  <cols>
    <col min="1" max="1" width="2" customWidth="1"/>
    <col min="2" max="2" width="34" customWidth="1"/>
    <col min="3" max="3" width="8" customWidth="1"/>
    <col min="4" max="4" width="2" customWidth="1"/>
    <col min="5" max="5" width="30" customWidth="1"/>
    <col min="6" max="6" width="8" customWidth="1"/>
    <col min="7" max="7" width="2" customWidth="1"/>
    <col min="8" max="8" width="28" customWidth="1"/>
    <col min="9" max="9" width="8" customWidth="1"/>
    <col min="10" max="10" width="2" customWidth="1"/>
    <col min="11" max="11" width="22" customWidth="1"/>
    <col min="12" max="12" width="8" customWidth="1"/>
    <col min="13" max="26" width="8.6640625" customWidth="1"/>
  </cols>
  <sheetData>
    <row r="1" spans="1:12" x14ac:dyDescent="0.2">
      <c r="A1" s="2"/>
      <c r="B1" s="2"/>
      <c r="C1" s="2"/>
      <c r="D1" s="2"/>
      <c r="E1" s="2"/>
      <c r="F1" s="2"/>
      <c r="G1" s="2"/>
      <c r="H1" s="2"/>
      <c r="I1" s="2"/>
      <c r="J1" s="2"/>
      <c r="K1" s="2"/>
      <c r="L1" s="2"/>
    </row>
    <row r="2" spans="1:12" ht="19.5" customHeight="1" x14ac:dyDescent="0.25">
      <c r="A2" s="2"/>
      <c r="B2" s="56" t="s">
        <v>1757</v>
      </c>
      <c r="C2" s="2"/>
      <c r="D2" s="2"/>
      <c r="E2" s="2"/>
      <c r="F2" s="2"/>
      <c r="G2" s="2"/>
      <c r="H2" s="2"/>
      <c r="I2" s="2"/>
      <c r="J2" s="2"/>
      <c r="K2" s="2"/>
      <c r="L2" s="2"/>
    </row>
    <row r="3" spans="1:12" ht="15" customHeight="1" x14ac:dyDescent="0.2">
      <c r="A3" s="2"/>
      <c r="B3" s="57" t="s">
        <v>1758</v>
      </c>
      <c r="C3" s="2"/>
      <c r="D3" s="2"/>
      <c r="E3" s="2"/>
      <c r="F3" s="2"/>
      <c r="G3" s="2"/>
      <c r="H3" s="2"/>
      <c r="I3" s="2"/>
      <c r="J3" s="2"/>
      <c r="K3" s="2"/>
      <c r="L3" s="2"/>
    </row>
    <row r="4" spans="1:12" x14ac:dyDescent="0.2">
      <c r="A4" s="2"/>
      <c r="B4" s="2"/>
      <c r="C4" s="2"/>
      <c r="D4" s="2"/>
      <c r="E4" s="2"/>
      <c r="F4" s="2"/>
      <c r="G4" s="2"/>
      <c r="H4" s="2"/>
      <c r="I4" s="2"/>
      <c r="J4" s="2"/>
      <c r="K4" s="2"/>
      <c r="L4" s="2"/>
    </row>
    <row r="5" spans="1:12" ht="15" customHeight="1" x14ac:dyDescent="0.2">
      <c r="A5" s="2"/>
      <c r="B5" s="58" t="s">
        <v>1759</v>
      </c>
      <c r="C5" s="59" t="s">
        <v>1760</v>
      </c>
      <c r="D5" s="2"/>
      <c r="E5" s="58" t="s">
        <v>1761</v>
      </c>
      <c r="F5" s="59" t="s">
        <v>1760</v>
      </c>
      <c r="G5" s="2"/>
      <c r="H5" s="58" t="s">
        <v>1762</v>
      </c>
      <c r="I5" s="59" t="s">
        <v>1760</v>
      </c>
      <c r="J5" s="2"/>
      <c r="K5" s="58" t="s">
        <v>1763</v>
      </c>
      <c r="L5" s="59" t="s">
        <v>1760</v>
      </c>
    </row>
    <row r="6" spans="1:12" ht="15" customHeight="1" x14ac:dyDescent="0.2">
      <c r="A6" s="2"/>
      <c r="B6" s="60" t="s">
        <v>197</v>
      </c>
      <c r="C6" s="61">
        <f>COUNTIF(Articles!$F$2:$F$591,B6)</f>
        <v>9</v>
      </c>
      <c r="D6" s="2"/>
      <c r="E6" s="60" t="s">
        <v>150</v>
      </c>
      <c r="F6" s="61">
        <f>COUNTIF(Articles!$G$2:$G$591,E6)</f>
        <v>11</v>
      </c>
      <c r="G6" s="2"/>
      <c r="H6" s="60" t="s">
        <v>204</v>
      </c>
      <c r="I6" s="61">
        <f>COUNTIF(Articles!$K$2:$K$591,H6)</f>
        <v>18</v>
      </c>
      <c r="J6" s="2"/>
      <c r="K6" s="60" t="s">
        <v>89</v>
      </c>
      <c r="L6" s="61">
        <f>COUNTIF(Articles!$E$2:$E$591,K6)</f>
        <v>38</v>
      </c>
    </row>
    <row r="7" spans="1:12" ht="15" customHeight="1" x14ac:dyDescent="0.2">
      <c r="A7" s="2"/>
      <c r="B7" s="60" t="s">
        <v>1023</v>
      </c>
      <c r="C7" s="61">
        <f>COUNTIF(Articles!$F$2:$F$591,B7)</f>
        <v>2</v>
      </c>
      <c r="D7" s="2"/>
      <c r="E7" s="62" t="s">
        <v>224</v>
      </c>
      <c r="F7" s="61">
        <f>COUNTIF(Articles!$G$2:$G$591,E7)</f>
        <v>21</v>
      </c>
      <c r="G7" s="2"/>
      <c r="H7" s="62" t="s">
        <v>448</v>
      </c>
      <c r="I7" s="61">
        <f>COUNTIF(Articles!$K$2:$K$591,H7)</f>
        <v>7</v>
      </c>
      <c r="J7" s="2"/>
      <c r="K7" s="62" t="s">
        <v>231</v>
      </c>
      <c r="L7" s="61">
        <f>COUNTIF(Articles!$E$2:$E$591,K7)</f>
        <v>91</v>
      </c>
    </row>
    <row r="8" spans="1:12" ht="15" customHeight="1" x14ac:dyDescent="0.2">
      <c r="A8" s="2"/>
      <c r="B8" s="62" t="s">
        <v>106</v>
      </c>
      <c r="C8" s="61">
        <f>COUNTIF(Articles!$F$2:$F$591,B8)</f>
        <v>30</v>
      </c>
      <c r="D8" s="2"/>
      <c r="E8" s="60" t="s">
        <v>240</v>
      </c>
      <c r="F8" s="61">
        <f>COUNTIF(Articles!$G$2:$G$591,E8)</f>
        <v>2</v>
      </c>
      <c r="G8" s="2"/>
      <c r="H8" s="60" t="s">
        <v>190</v>
      </c>
      <c r="I8" s="61">
        <f>COUNTIF(Articles!$K$2:$K$591,H8)</f>
        <v>6</v>
      </c>
      <c r="J8" s="2"/>
      <c r="K8" s="60" t="s">
        <v>524</v>
      </c>
      <c r="L8" s="61">
        <f>COUNTIF(Articles!$E$2:$E$591,K8)</f>
        <v>41</v>
      </c>
    </row>
    <row r="9" spans="1:12" ht="23.25" customHeight="1" x14ac:dyDescent="0.2">
      <c r="A9" s="2"/>
      <c r="B9" s="60" t="s">
        <v>497</v>
      </c>
      <c r="C9" s="61">
        <f>COUNTIF(Articles!$F$2:$F$591,B9)</f>
        <v>3</v>
      </c>
      <c r="D9" s="2"/>
      <c r="E9" s="62" t="s">
        <v>515</v>
      </c>
      <c r="F9" s="61">
        <f>COUNTIF(Articles!$G$2:$G$591,E9)</f>
        <v>1</v>
      </c>
      <c r="G9" s="2"/>
      <c r="H9" s="62" t="s">
        <v>93</v>
      </c>
      <c r="I9" s="61">
        <f>COUNTIF(Articles!$K$2:$K$591,H9)</f>
        <v>34</v>
      </c>
      <c r="J9" s="2"/>
      <c r="K9" s="62" t="s">
        <v>737</v>
      </c>
      <c r="L9" s="61">
        <f>COUNTIF(Articles!$E$2:$E$591,K9)</f>
        <v>35</v>
      </c>
    </row>
    <row r="10" spans="1:12" ht="15" customHeight="1" x14ac:dyDescent="0.2">
      <c r="A10" s="2"/>
      <c r="B10" s="62" t="s">
        <v>631</v>
      </c>
      <c r="C10" s="61">
        <f>COUNTIF(Articles!$F$2:$F$591,B10)</f>
        <v>7</v>
      </c>
      <c r="D10" s="2"/>
      <c r="E10" s="60" t="s">
        <v>305</v>
      </c>
      <c r="F10" s="61">
        <f>COUNTIF(Articles!$G$2:$G$591,E10)</f>
        <v>2</v>
      </c>
      <c r="G10" s="2"/>
      <c r="H10" s="60" t="s">
        <v>330</v>
      </c>
      <c r="I10" s="61">
        <f>COUNTIF(Articles!$K$2:$K$591,H10)</f>
        <v>34</v>
      </c>
      <c r="J10" s="2"/>
      <c r="K10" s="60" t="s">
        <v>788</v>
      </c>
      <c r="L10" s="61">
        <f>COUNTIF(Articles!$E$2:$E$591,K10)</f>
        <v>67</v>
      </c>
    </row>
    <row r="11" spans="1:12" ht="15" customHeight="1" x14ac:dyDescent="0.2">
      <c r="A11" s="2"/>
      <c r="B11" s="60" t="s">
        <v>358</v>
      </c>
      <c r="C11" s="61">
        <f>COUNTIF(Articles!$F$2:$F$591,B11)</f>
        <v>8</v>
      </c>
      <c r="D11" s="2"/>
      <c r="E11" s="62" t="s">
        <v>329</v>
      </c>
      <c r="F11" s="61">
        <f>COUNTIF(Articles!$G$2:$G$591,E11)</f>
        <v>33</v>
      </c>
      <c r="G11" s="2"/>
      <c r="H11" s="62" t="s">
        <v>567</v>
      </c>
      <c r="I11" s="61">
        <f>COUNTIF(Articles!$K$2:$K$591,H11)</f>
        <v>5</v>
      </c>
      <c r="J11" s="2"/>
      <c r="K11" s="63" t="s">
        <v>1764</v>
      </c>
      <c r="L11" s="64">
        <f>SUM(L6:L10)</f>
        <v>272</v>
      </c>
    </row>
    <row r="12" spans="1:12" ht="15" customHeight="1" x14ac:dyDescent="0.2">
      <c r="A12" s="2"/>
      <c r="B12" s="62" t="s">
        <v>588</v>
      </c>
      <c r="C12" s="61">
        <f>COUNTIF(Articles!$F$2:$F$591,B12)</f>
        <v>13</v>
      </c>
      <c r="D12" s="2"/>
      <c r="E12" s="60" t="s">
        <v>293</v>
      </c>
      <c r="F12" s="61">
        <f>COUNTIF(Articles!$G$2:$G$591,E12)</f>
        <v>31</v>
      </c>
      <c r="G12" s="2"/>
      <c r="H12" s="60" t="s">
        <v>590</v>
      </c>
      <c r="I12" s="61">
        <f>COUNTIF(Articles!$K$2:$K$591,H12)</f>
        <v>33</v>
      </c>
      <c r="J12" s="2"/>
      <c r="K12" s="2"/>
      <c r="L12" s="2"/>
    </row>
    <row r="13" spans="1:12" ht="15" customHeight="1" x14ac:dyDescent="0.2">
      <c r="A13" s="2"/>
      <c r="B13" s="62" t="s">
        <v>525</v>
      </c>
      <c r="C13" s="61">
        <f>COUNTIF(Articles!$F$2:$F$591,B13)</f>
        <v>6</v>
      </c>
      <c r="D13" s="2"/>
      <c r="E13" s="62" t="s">
        <v>844</v>
      </c>
      <c r="F13" s="61">
        <f>COUNTIF(Articles!$G$2:$G$591,E13)</f>
        <v>9</v>
      </c>
      <c r="G13" s="2"/>
      <c r="H13" s="62" t="s">
        <v>233</v>
      </c>
      <c r="I13" s="61">
        <f>COUNTIF(Articles!$K$2:$K$591,H13)</f>
        <v>12</v>
      </c>
      <c r="J13" s="2"/>
      <c r="K13" s="58" t="s">
        <v>1765</v>
      </c>
      <c r="L13" s="59" t="s">
        <v>1760</v>
      </c>
    </row>
    <row r="14" spans="1:12" ht="23.25" customHeight="1" x14ac:dyDescent="0.2">
      <c r="A14" s="2"/>
      <c r="B14" s="60" t="s">
        <v>321</v>
      </c>
      <c r="C14" s="61">
        <f>COUNTIF(Articles!$F$2:$F$591,B14)</f>
        <v>4</v>
      </c>
      <c r="D14" s="2"/>
      <c r="E14" s="60" t="s">
        <v>261</v>
      </c>
      <c r="F14" s="61">
        <f>COUNTIF(Articles!$G$2:$G$591,E14)</f>
        <v>28</v>
      </c>
      <c r="G14" s="2"/>
      <c r="H14" s="60" t="s">
        <v>360</v>
      </c>
      <c r="I14" s="61">
        <f>COUNTIF(Articles!$K$2:$K$591,H14)</f>
        <v>8</v>
      </c>
      <c r="J14" s="2"/>
      <c r="K14" s="60" t="s">
        <v>121</v>
      </c>
      <c r="L14" s="61">
        <f>COUNTIF(Articles!$H$2:$H$591,K14)</f>
        <v>15</v>
      </c>
    </row>
    <row r="15" spans="1:12" ht="15" customHeight="1" x14ac:dyDescent="0.2">
      <c r="A15" s="2"/>
      <c r="B15" s="62" t="s">
        <v>90</v>
      </c>
      <c r="C15" s="61">
        <f>COUNTIF(Articles!$F$2:$F$591,B15)</f>
        <v>9</v>
      </c>
      <c r="D15" s="2"/>
      <c r="E15" s="62" t="s">
        <v>388</v>
      </c>
      <c r="F15" s="61">
        <f>COUNTIF(Articles!$G$2:$G$591,E15)</f>
        <v>4</v>
      </c>
      <c r="G15" s="2"/>
      <c r="H15" s="62" t="s">
        <v>295</v>
      </c>
      <c r="I15" s="61">
        <f>COUNTIF(Articles!$K$2:$K$591,H15)</f>
        <v>79</v>
      </c>
      <c r="J15" s="2"/>
      <c r="K15" s="62" t="s">
        <v>91</v>
      </c>
      <c r="L15" s="61">
        <f>COUNTIF(Articles!$H$2:$H$591,K15)</f>
        <v>139</v>
      </c>
    </row>
    <row r="16" spans="1:12" ht="15" customHeight="1" x14ac:dyDescent="0.2">
      <c r="A16" s="2"/>
      <c r="B16" s="60" t="s">
        <v>253</v>
      </c>
      <c r="C16" s="61">
        <f>COUNTIF(Articles!$F$2:$F$591,B16)</f>
        <v>21</v>
      </c>
      <c r="D16" s="2"/>
      <c r="E16" s="60" t="s">
        <v>90</v>
      </c>
      <c r="F16" s="61">
        <f>COUNTIF(Articles!$G$2:$G$591,E16)</f>
        <v>6</v>
      </c>
      <c r="G16" s="2"/>
      <c r="H16" s="60" t="s">
        <v>693</v>
      </c>
      <c r="I16" s="61">
        <f>COUNTIF(Articles!$K$2:$K$591,H16)</f>
        <v>11</v>
      </c>
      <c r="J16" s="2"/>
      <c r="K16" s="60" t="s">
        <v>254</v>
      </c>
      <c r="L16" s="61">
        <f>COUNTIF(Articles!$H$2:$H$591,K16)</f>
        <v>8</v>
      </c>
    </row>
    <row r="17" spans="1:12" ht="15" customHeight="1" x14ac:dyDescent="0.2">
      <c r="A17" s="2"/>
      <c r="B17" s="62" t="s">
        <v>566</v>
      </c>
      <c r="C17" s="61">
        <f>COUNTIF(Articles!$F$2:$F$591,B17)</f>
        <v>2</v>
      </c>
      <c r="D17" s="2"/>
      <c r="E17" s="62" t="s">
        <v>403</v>
      </c>
      <c r="F17" s="61">
        <f>COUNTIF(Articles!$G$2:$G$591,E17)</f>
        <v>20</v>
      </c>
      <c r="G17" s="2"/>
      <c r="H17" s="63" t="s">
        <v>1764</v>
      </c>
      <c r="I17" s="64">
        <f>SUM(I6:I16)</f>
        <v>247</v>
      </c>
      <c r="J17" s="2"/>
      <c r="K17" s="62" t="s">
        <v>516</v>
      </c>
      <c r="L17" s="61">
        <f>COUNTIF(Articles!$H$2:$H$591,K17)</f>
        <v>11</v>
      </c>
    </row>
    <row r="18" spans="1:12" ht="15" customHeight="1" x14ac:dyDescent="0.2">
      <c r="A18" s="2"/>
      <c r="B18" s="60" t="s">
        <v>590</v>
      </c>
      <c r="C18" s="61">
        <f>COUNTIF(Articles!$F$2:$F$591,B18)</f>
        <v>19</v>
      </c>
      <c r="D18" s="2"/>
      <c r="E18" s="60" t="s">
        <v>131</v>
      </c>
      <c r="F18" s="61">
        <f>COUNTIF(Articles!$G$2:$G$591,E18)</f>
        <v>69</v>
      </c>
      <c r="G18" s="2"/>
      <c r="H18" s="2"/>
      <c r="I18" s="2"/>
      <c r="J18" s="2"/>
      <c r="K18" s="60" t="s">
        <v>241</v>
      </c>
      <c r="L18" s="61">
        <f>COUNTIF(Articles!$H$2:$H$591,K18)</f>
        <v>17</v>
      </c>
    </row>
    <row r="19" spans="1:12" ht="15" customHeight="1" x14ac:dyDescent="0.2">
      <c r="A19" s="2"/>
      <c r="B19" s="62" t="s">
        <v>952</v>
      </c>
      <c r="C19" s="61">
        <f>COUNTIF(Articles!$F$2:$F$591,B19)</f>
        <v>8</v>
      </c>
      <c r="D19" s="2"/>
      <c r="E19" s="62" t="s">
        <v>120</v>
      </c>
      <c r="F19" s="61">
        <f>COUNTIF(Articles!$G$2:$G$591,E19)</f>
        <v>2</v>
      </c>
      <c r="G19" s="2"/>
      <c r="H19" s="2"/>
      <c r="I19" s="2"/>
      <c r="J19" s="2"/>
      <c r="K19" s="62" t="s">
        <v>306</v>
      </c>
      <c r="L19" s="61">
        <f>COUNTIF(Articles!$H$2:$H$591,K19)</f>
        <v>6</v>
      </c>
    </row>
    <row r="20" spans="1:12" ht="15" customHeight="1" x14ac:dyDescent="0.2">
      <c r="A20" s="2"/>
      <c r="B20" s="60" t="s">
        <v>189</v>
      </c>
      <c r="C20" s="61">
        <f>COUNTIF(Articles!$F$2:$F$591,B20)</f>
        <v>2</v>
      </c>
      <c r="D20" s="2"/>
      <c r="E20" s="60" t="s">
        <v>367</v>
      </c>
      <c r="F20" s="61">
        <f>COUNTIF(Articles!$G$2:$G$591,E20)</f>
        <v>5</v>
      </c>
      <c r="G20" s="2"/>
      <c r="H20" s="2"/>
      <c r="I20" s="2"/>
      <c r="J20" s="2"/>
      <c r="K20" s="60" t="s">
        <v>108</v>
      </c>
      <c r="L20" s="61">
        <f>COUNTIF(Articles!$H$2:$H$591,K20)</f>
        <v>91</v>
      </c>
    </row>
    <row r="21" spans="1:12" ht="15" customHeight="1" x14ac:dyDescent="0.2">
      <c r="A21" s="2"/>
      <c r="B21" s="62" t="s">
        <v>232</v>
      </c>
      <c r="C21" s="61">
        <f>COUNTIF(Articles!$F$2:$F$591,B21)</f>
        <v>12</v>
      </c>
      <c r="D21" s="2"/>
      <c r="E21" s="62" t="s">
        <v>107</v>
      </c>
      <c r="F21" s="61">
        <f>COUNTIF(Articles!$G$2:$G$591,E21)</f>
        <v>41</v>
      </c>
      <c r="G21" s="2"/>
      <c r="H21" s="2"/>
      <c r="I21" s="2"/>
      <c r="J21" s="2"/>
      <c r="K21" s="63" t="s">
        <v>1764</v>
      </c>
      <c r="L21" s="64">
        <f>SUM(L14:L20)</f>
        <v>287</v>
      </c>
    </row>
    <row r="22" spans="1:12" ht="15" customHeight="1" x14ac:dyDescent="0.2">
      <c r="A22" s="2"/>
      <c r="B22" s="60" t="s">
        <v>119</v>
      </c>
      <c r="C22" s="61">
        <f>COUNTIF(Articles!$F$2:$F$591,B22)</f>
        <v>4</v>
      </c>
      <c r="D22" s="2"/>
      <c r="E22" s="60" t="s">
        <v>285</v>
      </c>
      <c r="F22" s="61">
        <f>COUNTIF(Articles!$G$2:$G$591,E22)</f>
        <v>3</v>
      </c>
      <c r="G22" s="2"/>
      <c r="H22" s="2"/>
      <c r="I22" s="2"/>
      <c r="J22" s="2"/>
      <c r="K22" s="2"/>
      <c r="L22" s="2"/>
    </row>
    <row r="23" spans="1:12" ht="15" customHeight="1" x14ac:dyDescent="0.2">
      <c r="A23" s="2"/>
      <c r="B23" s="62" t="s">
        <v>828</v>
      </c>
      <c r="C23" s="61">
        <f>COUNTIF(Articles!$F$2:$F$591,B23)</f>
        <v>11</v>
      </c>
      <c r="D23" s="2"/>
      <c r="E23" s="63" t="s">
        <v>1764</v>
      </c>
      <c r="F23" s="64">
        <f>SUM(F6:F22)</f>
        <v>288</v>
      </c>
      <c r="G23" s="2"/>
      <c r="H23" s="2"/>
      <c r="I23" s="2"/>
      <c r="J23" s="2"/>
      <c r="K23" s="2"/>
      <c r="L23" s="2"/>
    </row>
    <row r="24" spans="1:12" ht="15" customHeight="1" x14ac:dyDescent="0.2">
      <c r="A24" s="2"/>
      <c r="B24" s="60" t="s">
        <v>843</v>
      </c>
      <c r="C24" s="61">
        <f>COUNTIF(Articles!$F$2:$F$591,B24)</f>
        <v>18</v>
      </c>
      <c r="D24" s="2"/>
      <c r="E24" s="2"/>
      <c r="F24" s="2"/>
      <c r="G24" s="2"/>
      <c r="H24" s="2"/>
      <c r="I24" s="2"/>
      <c r="J24" s="2"/>
      <c r="K24" s="2"/>
      <c r="L24" s="2"/>
    </row>
    <row r="25" spans="1:12" ht="15" customHeight="1" x14ac:dyDescent="0.2">
      <c r="A25" s="2"/>
      <c r="B25" s="62" t="s">
        <v>447</v>
      </c>
      <c r="C25" s="61">
        <f>COUNTIF(Articles!$F$2:$F$591,B25)</f>
        <v>17</v>
      </c>
      <c r="D25" s="2"/>
      <c r="E25" s="2"/>
      <c r="F25" s="2"/>
      <c r="G25" s="2"/>
      <c r="H25" s="2"/>
      <c r="I25" s="2"/>
      <c r="J25" s="2"/>
      <c r="K25" s="2"/>
      <c r="L25" s="2"/>
    </row>
    <row r="26" spans="1:12" ht="15" customHeight="1" x14ac:dyDescent="0.2">
      <c r="A26" s="2"/>
      <c r="B26" s="60" t="s">
        <v>789</v>
      </c>
      <c r="C26" s="61">
        <f>COUNTIF(Articles!$F$2:$F$591,B26)</f>
        <v>33</v>
      </c>
      <c r="D26" s="2"/>
      <c r="E26" s="2"/>
      <c r="F26" s="2"/>
      <c r="G26" s="2"/>
      <c r="H26" s="2"/>
      <c r="I26" s="2"/>
      <c r="J26" s="2"/>
      <c r="K26" s="2"/>
      <c r="L26" s="2"/>
    </row>
    <row r="27" spans="1:12" ht="15" customHeight="1" x14ac:dyDescent="0.2">
      <c r="A27" s="2"/>
      <c r="B27" s="62" t="s">
        <v>644</v>
      </c>
      <c r="C27" s="61">
        <f>COUNTIF(Articles!$F$2:$F$591,B27)</f>
        <v>11</v>
      </c>
      <c r="D27" s="2"/>
      <c r="E27" s="2"/>
      <c r="F27" s="2"/>
      <c r="G27" s="2"/>
      <c r="H27" s="2"/>
      <c r="I27" s="2"/>
      <c r="J27" s="2"/>
      <c r="K27" s="2"/>
      <c r="L27" s="2"/>
    </row>
    <row r="28" spans="1:12" ht="15" customHeight="1" x14ac:dyDescent="0.2">
      <c r="A28" s="2"/>
      <c r="B28" s="60" t="s">
        <v>292</v>
      </c>
      <c r="C28" s="61">
        <f>COUNTIF(Articles!$F$2:$F$591,B28)</f>
        <v>25</v>
      </c>
      <c r="D28" s="2"/>
      <c r="E28" s="2"/>
      <c r="F28" s="2"/>
      <c r="G28" s="2"/>
      <c r="H28" s="2"/>
      <c r="I28" s="2"/>
      <c r="J28" s="2"/>
      <c r="K28" s="2"/>
      <c r="L28" s="2"/>
    </row>
    <row r="29" spans="1:12" ht="15.75" customHeight="1" x14ac:dyDescent="0.2">
      <c r="A29" s="2"/>
      <c r="B29" s="62" t="s">
        <v>573</v>
      </c>
      <c r="C29" s="61">
        <f>COUNTIF(Articles!$F$2:$F$591,B29)</f>
        <v>3</v>
      </c>
      <c r="D29" s="2"/>
      <c r="E29" s="2"/>
      <c r="F29" s="2"/>
      <c r="G29" s="2"/>
      <c r="H29" s="2"/>
      <c r="I29" s="2"/>
      <c r="J29" s="2"/>
      <c r="K29" s="2"/>
      <c r="L29" s="2"/>
    </row>
    <row r="30" spans="1:12" ht="15.75" customHeight="1" x14ac:dyDescent="0.2">
      <c r="A30" s="2"/>
      <c r="B30" s="63" t="s">
        <v>1764</v>
      </c>
      <c r="C30" s="2">
        <f>SUM(C6:C29)</f>
        <v>277</v>
      </c>
      <c r="D30" s="2"/>
      <c r="E30" s="2"/>
      <c r="F30" s="2"/>
      <c r="G30" s="2"/>
      <c r="H30" s="2"/>
      <c r="I30" s="2"/>
      <c r="J30" s="2"/>
      <c r="K30" s="2"/>
      <c r="L30" s="2"/>
    </row>
    <row r="31" spans="1:12" ht="15.75" customHeight="1" x14ac:dyDescent="0.2">
      <c r="A31" s="2"/>
      <c r="B31" s="2"/>
      <c r="C31" s="2"/>
      <c r="D31" s="2"/>
      <c r="E31" s="2"/>
      <c r="F31" s="2"/>
      <c r="G31" s="2"/>
      <c r="H31" s="2"/>
      <c r="I31" s="2"/>
      <c r="J31" s="2"/>
      <c r="K31" s="2"/>
      <c r="L31" s="2"/>
    </row>
    <row r="32" spans="1:12" ht="15.75" customHeight="1" x14ac:dyDescent="0.2">
      <c r="A32" s="2"/>
      <c r="B32" s="2"/>
      <c r="C32" s="2"/>
      <c r="D32" s="2"/>
      <c r="E32" s="2"/>
      <c r="F32" s="2"/>
      <c r="G32" s="2"/>
      <c r="H32" s="2"/>
      <c r="I32" s="2"/>
      <c r="J32" s="2"/>
      <c r="K32" s="2"/>
      <c r="L32" s="2"/>
    </row>
    <row r="33" spans="1:12" ht="15.75" customHeight="1" x14ac:dyDescent="0.2">
      <c r="A33" s="2"/>
      <c r="B33" s="2"/>
      <c r="C33" s="2"/>
      <c r="D33" s="2"/>
      <c r="E33" s="2"/>
      <c r="F33" s="2"/>
      <c r="G33" s="2"/>
      <c r="H33" s="2"/>
      <c r="I33" s="2"/>
      <c r="J33" s="2"/>
      <c r="K33" s="2"/>
      <c r="L33" s="2"/>
    </row>
    <row r="34" spans="1:12" ht="15.75" customHeight="1" x14ac:dyDescent="0.2">
      <c r="A34" s="2"/>
      <c r="B34" s="2"/>
      <c r="C34" s="2"/>
      <c r="D34" s="2"/>
      <c r="E34" s="2"/>
      <c r="F34" s="2"/>
      <c r="G34" s="2"/>
      <c r="H34" s="2"/>
      <c r="I34" s="2"/>
      <c r="J34" s="2"/>
      <c r="K34" s="2"/>
      <c r="L34" s="2"/>
    </row>
    <row r="35" spans="1:12" ht="15.75" customHeight="1" x14ac:dyDescent="0.2">
      <c r="A35" s="2"/>
      <c r="B35" s="2"/>
      <c r="C35" s="2"/>
      <c r="D35" s="2"/>
      <c r="E35" s="2"/>
      <c r="F35" s="2"/>
      <c r="G35" s="2"/>
      <c r="H35" s="2"/>
      <c r="I35" s="2"/>
      <c r="J35" s="2"/>
      <c r="K35" s="2"/>
      <c r="L35" s="2"/>
    </row>
    <row r="36" spans="1:12" ht="15.75" customHeight="1" x14ac:dyDescent="0.2">
      <c r="A36" s="2"/>
      <c r="B36" s="2"/>
      <c r="C36" s="2"/>
      <c r="D36" s="2"/>
      <c r="E36" s="2"/>
      <c r="F36" s="2"/>
      <c r="G36" s="2"/>
      <c r="H36" s="2"/>
      <c r="I36" s="2"/>
      <c r="J36" s="2"/>
      <c r="K36" s="2"/>
      <c r="L36" s="2"/>
    </row>
    <row r="37" spans="1:12" ht="15.75" customHeight="1" x14ac:dyDescent="0.2">
      <c r="A37" s="2"/>
      <c r="B37" s="2"/>
      <c r="C37" s="2"/>
      <c r="D37" s="2"/>
      <c r="E37" s="2"/>
      <c r="F37" s="2"/>
      <c r="G37" s="2"/>
      <c r="H37" s="2"/>
      <c r="I37" s="2"/>
      <c r="J37" s="2"/>
      <c r="K37" s="2"/>
      <c r="L37" s="2"/>
    </row>
    <row r="38" spans="1:12" ht="15.75" customHeight="1" x14ac:dyDescent="0.2">
      <c r="A38" s="2"/>
      <c r="B38" s="2"/>
      <c r="C38" s="2"/>
      <c r="D38" s="2"/>
      <c r="E38" s="2"/>
      <c r="F38" s="2"/>
      <c r="G38" s="2"/>
      <c r="H38" s="2"/>
      <c r="I38" s="2"/>
      <c r="J38" s="2"/>
      <c r="K38" s="2"/>
      <c r="L38" s="2"/>
    </row>
    <row r="39" spans="1:12" ht="15.75" customHeight="1" x14ac:dyDescent="0.2">
      <c r="A39" s="2"/>
      <c r="B39" s="2"/>
      <c r="C39" s="2"/>
      <c r="D39" s="2"/>
      <c r="E39" s="2"/>
      <c r="F39" s="2"/>
      <c r="G39" s="2"/>
      <c r="H39" s="2"/>
      <c r="I39" s="2"/>
      <c r="J39" s="2"/>
      <c r="K39" s="2"/>
      <c r="L39" s="2"/>
    </row>
    <row r="40" spans="1:12" ht="15.75" customHeight="1" x14ac:dyDescent="0.2">
      <c r="A40" s="2"/>
      <c r="B40" s="2"/>
      <c r="C40" s="2"/>
      <c r="D40" s="2"/>
      <c r="E40" s="2"/>
      <c r="F40" s="2"/>
      <c r="G40" s="2"/>
      <c r="H40" s="2"/>
      <c r="I40" s="2"/>
      <c r="J40" s="2"/>
      <c r="K40" s="2"/>
      <c r="L40" s="2"/>
    </row>
    <row r="41" spans="1:12" ht="15.75" customHeight="1" x14ac:dyDescent="0.2">
      <c r="A41" s="2"/>
      <c r="B41" s="2"/>
      <c r="C41" s="2"/>
      <c r="D41" s="2"/>
      <c r="E41" s="2"/>
      <c r="F41" s="2"/>
      <c r="G41" s="2"/>
      <c r="H41" s="2"/>
      <c r="I41" s="2"/>
      <c r="J41" s="2"/>
      <c r="K41" s="2"/>
      <c r="L41" s="2"/>
    </row>
    <row r="42" spans="1:12" ht="15.75" customHeight="1" x14ac:dyDescent="0.2">
      <c r="A42" s="2"/>
      <c r="B42" s="2"/>
      <c r="C42" s="2"/>
      <c r="D42" s="2"/>
      <c r="E42" s="2"/>
      <c r="F42" s="2"/>
      <c r="G42" s="2"/>
      <c r="H42" s="2"/>
      <c r="I42" s="2"/>
      <c r="J42" s="2"/>
      <c r="K42" s="2"/>
      <c r="L42" s="2"/>
    </row>
    <row r="43" spans="1:12" ht="15.75" customHeight="1" x14ac:dyDescent="0.2">
      <c r="A43" s="2"/>
      <c r="B43" s="2"/>
      <c r="C43" s="2"/>
      <c r="D43" s="2"/>
      <c r="E43" s="2"/>
      <c r="F43" s="2"/>
      <c r="G43" s="2"/>
      <c r="H43" s="2"/>
      <c r="I43" s="2"/>
      <c r="J43" s="2"/>
      <c r="K43" s="2"/>
      <c r="L43" s="2"/>
    </row>
    <row r="44" spans="1:12" ht="15.75" customHeight="1" x14ac:dyDescent="0.2">
      <c r="A44" s="2"/>
      <c r="B44" s="2"/>
      <c r="C44" s="2"/>
      <c r="D44" s="2"/>
      <c r="E44" s="2"/>
      <c r="F44" s="2"/>
      <c r="G44" s="2"/>
      <c r="H44" s="2"/>
      <c r="I44" s="2"/>
      <c r="J44" s="2"/>
      <c r="K44" s="2"/>
      <c r="L44" s="2"/>
    </row>
    <row r="45" spans="1:12" ht="15.75" customHeight="1" x14ac:dyDescent="0.2">
      <c r="A45" s="2"/>
      <c r="B45" s="2"/>
      <c r="C45" s="2"/>
      <c r="D45" s="2"/>
      <c r="E45" s="2"/>
      <c r="F45" s="2"/>
      <c r="G45" s="2"/>
      <c r="H45" s="2"/>
      <c r="I45" s="2"/>
      <c r="J45" s="2"/>
      <c r="K45" s="2"/>
      <c r="L45" s="2"/>
    </row>
    <row r="46" spans="1:12" ht="15.75" customHeight="1" x14ac:dyDescent="0.2">
      <c r="A46" s="2"/>
      <c r="B46" s="2"/>
      <c r="C46" s="2"/>
      <c r="D46" s="2"/>
      <c r="E46" s="2"/>
      <c r="F46" s="2"/>
      <c r="G46" s="2"/>
      <c r="H46" s="2"/>
      <c r="I46" s="2"/>
      <c r="J46" s="2"/>
      <c r="K46" s="2"/>
      <c r="L46" s="2"/>
    </row>
    <row r="47" spans="1:12" ht="15.75" customHeight="1" x14ac:dyDescent="0.2">
      <c r="A47" s="2"/>
      <c r="B47" s="2"/>
      <c r="C47" s="2"/>
      <c r="D47" s="2"/>
      <c r="E47" s="2"/>
      <c r="F47" s="2"/>
      <c r="G47" s="2"/>
      <c r="H47" s="2"/>
      <c r="I47" s="2"/>
      <c r="J47" s="2"/>
      <c r="K47" s="2"/>
      <c r="L47" s="2"/>
    </row>
    <row r="48" spans="1:12" ht="15.75" customHeight="1" x14ac:dyDescent="0.2">
      <c r="A48" s="2"/>
      <c r="B48" s="2"/>
      <c r="C48" s="2"/>
      <c r="D48" s="2"/>
      <c r="E48" s="2"/>
      <c r="F48" s="2"/>
      <c r="G48" s="2"/>
      <c r="H48" s="2"/>
      <c r="I48" s="2"/>
      <c r="J48" s="2"/>
      <c r="K48" s="2"/>
      <c r="L48" s="2"/>
    </row>
    <row r="49" spans="1:12" ht="15.75" customHeight="1" x14ac:dyDescent="0.2">
      <c r="A49" s="2"/>
      <c r="B49" s="2"/>
      <c r="C49" s="2"/>
      <c r="D49" s="2"/>
      <c r="E49" s="2"/>
      <c r="F49" s="2"/>
      <c r="G49" s="2"/>
      <c r="H49" s="2"/>
      <c r="I49" s="2"/>
      <c r="J49" s="2"/>
      <c r="K49" s="2"/>
      <c r="L49" s="2"/>
    </row>
    <row r="50" spans="1:12" ht="15.75" customHeight="1" x14ac:dyDescent="0.2">
      <c r="A50" s="2"/>
      <c r="B50" s="2"/>
      <c r="C50" s="2"/>
      <c r="D50" s="2"/>
      <c r="E50" s="2"/>
      <c r="F50" s="2"/>
      <c r="G50" s="2"/>
      <c r="H50" s="2"/>
      <c r="I50" s="2"/>
      <c r="J50" s="2"/>
      <c r="K50" s="2"/>
      <c r="L50" s="2"/>
    </row>
    <row r="51" spans="1:12" ht="15.75" customHeight="1" x14ac:dyDescent="0.2">
      <c r="A51" s="2"/>
      <c r="B51" s="2"/>
      <c r="C51" s="2"/>
      <c r="D51" s="2"/>
      <c r="E51" s="2"/>
      <c r="F51" s="2"/>
      <c r="G51" s="2"/>
      <c r="H51" s="2"/>
      <c r="I51" s="2"/>
      <c r="J51" s="2"/>
      <c r="K51" s="2"/>
      <c r="L51" s="2"/>
    </row>
    <row r="52" spans="1:12" ht="15.75" customHeight="1" x14ac:dyDescent="0.2">
      <c r="A52" s="2"/>
      <c r="B52" s="2"/>
      <c r="C52" s="2"/>
      <c r="D52" s="2"/>
      <c r="E52" s="2"/>
      <c r="F52" s="2"/>
      <c r="G52" s="2"/>
      <c r="H52" s="2"/>
      <c r="I52" s="2"/>
      <c r="J52" s="2"/>
      <c r="K52" s="2"/>
      <c r="L52" s="2"/>
    </row>
    <row r="53" spans="1:12" ht="15.75" customHeight="1" x14ac:dyDescent="0.2">
      <c r="A53" s="2"/>
      <c r="B53" s="2"/>
      <c r="C53" s="2"/>
      <c r="D53" s="2"/>
      <c r="E53" s="2"/>
      <c r="F53" s="2"/>
      <c r="G53" s="2"/>
      <c r="H53" s="2"/>
      <c r="I53" s="2"/>
      <c r="J53" s="2"/>
      <c r="K53" s="2"/>
      <c r="L53" s="2"/>
    </row>
    <row r="54" spans="1:12" ht="15.75" customHeight="1" x14ac:dyDescent="0.2">
      <c r="A54" s="2"/>
      <c r="B54" s="2"/>
      <c r="C54" s="2"/>
      <c r="D54" s="2"/>
      <c r="E54" s="2"/>
      <c r="F54" s="2"/>
      <c r="G54" s="2"/>
      <c r="H54" s="2"/>
      <c r="I54" s="2"/>
      <c r="J54" s="2"/>
      <c r="K54" s="2"/>
      <c r="L54" s="2"/>
    </row>
    <row r="55" spans="1:12" ht="15.75" customHeight="1" x14ac:dyDescent="0.2">
      <c r="A55" s="2"/>
      <c r="B55" s="2"/>
      <c r="C55" s="2"/>
      <c r="D55" s="2"/>
      <c r="E55" s="2"/>
      <c r="F55" s="2"/>
      <c r="G55" s="2"/>
      <c r="H55" s="2"/>
      <c r="I55" s="2"/>
      <c r="J55" s="2"/>
      <c r="K55" s="2"/>
      <c r="L55" s="2"/>
    </row>
    <row r="56" spans="1:12" ht="15.75" customHeight="1" x14ac:dyDescent="0.2">
      <c r="A56" s="2"/>
      <c r="B56" s="2"/>
      <c r="C56" s="2"/>
      <c r="D56" s="2"/>
      <c r="E56" s="2"/>
      <c r="F56" s="2"/>
      <c r="G56" s="2"/>
      <c r="H56" s="2"/>
      <c r="I56" s="2"/>
      <c r="J56" s="2"/>
      <c r="K56" s="2"/>
      <c r="L56" s="2"/>
    </row>
    <row r="57" spans="1:12" ht="15.75" customHeight="1" x14ac:dyDescent="0.2">
      <c r="A57" s="2"/>
      <c r="B57" s="2"/>
      <c r="C57" s="2"/>
      <c r="D57" s="2"/>
      <c r="E57" s="2"/>
      <c r="F57" s="2"/>
      <c r="G57" s="2"/>
      <c r="H57" s="2"/>
      <c r="I57" s="2"/>
      <c r="J57" s="2"/>
      <c r="K57" s="2"/>
      <c r="L57" s="2"/>
    </row>
    <row r="58" spans="1:12" ht="15.75" customHeight="1" x14ac:dyDescent="0.2">
      <c r="A58" s="2"/>
      <c r="B58" s="2"/>
      <c r="C58" s="2"/>
      <c r="D58" s="2"/>
      <c r="E58" s="2"/>
      <c r="F58" s="2"/>
      <c r="G58" s="2"/>
      <c r="H58" s="2"/>
      <c r="I58" s="2"/>
      <c r="J58" s="2"/>
      <c r="K58" s="2"/>
      <c r="L58" s="2"/>
    </row>
    <row r="59" spans="1:12" ht="15.75" customHeight="1" x14ac:dyDescent="0.2">
      <c r="A59" s="2"/>
      <c r="B59" s="2"/>
      <c r="C59" s="2"/>
      <c r="D59" s="2"/>
      <c r="E59" s="2"/>
      <c r="F59" s="2"/>
      <c r="G59" s="2"/>
      <c r="H59" s="2"/>
      <c r="I59" s="2"/>
      <c r="J59" s="2"/>
      <c r="K59" s="2"/>
      <c r="L59" s="2"/>
    </row>
    <row r="60" spans="1:12" ht="15.75" customHeight="1" x14ac:dyDescent="0.2">
      <c r="A60" s="2"/>
      <c r="B60" s="2"/>
      <c r="C60" s="2"/>
      <c r="D60" s="2"/>
      <c r="E60" s="2"/>
      <c r="F60" s="2"/>
      <c r="G60" s="2"/>
      <c r="H60" s="2"/>
      <c r="I60" s="2"/>
      <c r="J60" s="2"/>
      <c r="K60" s="2"/>
      <c r="L60" s="2"/>
    </row>
    <row r="61" spans="1:12" ht="15.75" customHeight="1" x14ac:dyDescent="0.2">
      <c r="A61" s="2"/>
      <c r="B61" s="2"/>
      <c r="C61" s="2"/>
      <c r="D61" s="2"/>
      <c r="E61" s="2"/>
      <c r="F61" s="2"/>
      <c r="G61" s="2"/>
      <c r="H61" s="2"/>
      <c r="I61" s="2"/>
      <c r="J61" s="2"/>
      <c r="K61" s="2"/>
      <c r="L61" s="2"/>
    </row>
    <row r="62" spans="1:12" ht="15.75" customHeight="1" x14ac:dyDescent="0.2">
      <c r="A62" s="2"/>
      <c r="B62" s="2"/>
      <c r="C62" s="2"/>
      <c r="D62" s="2"/>
      <c r="E62" s="2"/>
      <c r="F62" s="2"/>
      <c r="G62" s="2"/>
      <c r="H62" s="2"/>
      <c r="I62" s="2"/>
      <c r="J62" s="2"/>
      <c r="K62" s="2"/>
      <c r="L62" s="2"/>
    </row>
    <row r="63" spans="1:12" ht="15.75" customHeight="1" x14ac:dyDescent="0.2">
      <c r="A63" s="2"/>
      <c r="B63" s="2"/>
      <c r="C63" s="2"/>
      <c r="D63" s="2"/>
      <c r="E63" s="2"/>
      <c r="F63" s="2"/>
      <c r="G63" s="2"/>
      <c r="H63" s="2"/>
      <c r="I63" s="2"/>
      <c r="J63" s="2"/>
      <c r="K63" s="2"/>
      <c r="L63" s="2"/>
    </row>
    <row r="64" spans="1:12" ht="15.75" customHeight="1" x14ac:dyDescent="0.2">
      <c r="A64" s="2"/>
      <c r="B64" s="2"/>
      <c r="C64" s="2"/>
      <c r="D64" s="2"/>
      <c r="E64" s="2"/>
      <c r="F64" s="2"/>
      <c r="G64" s="2"/>
      <c r="H64" s="2"/>
      <c r="I64" s="2"/>
      <c r="J64" s="2"/>
      <c r="K64" s="2"/>
      <c r="L64" s="2"/>
    </row>
    <row r="65" spans="1:12" ht="15.75" customHeight="1" x14ac:dyDescent="0.2">
      <c r="A65" s="2"/>
      <c r="B65" s="2"/>
      <c r="C65" s="2"/>
      <c r="D65" s="2"/>
      <c r="E65" s="2"/>
      <c r="F65" s="2"/>
      <c r="G65" s="2"/>
      <c r="H65" s="2"/>
      <c r="I65" s="2"/>
      <c r="J65" s="2"/>
      <c r="K65" s="2"/>
      <c r="L65" s="2"/>
    </row>
    <row r="66" spans="1:12" ht="15.75" customHeight="1" x14ac:dyDescent="0.2">
      <c r="A66" s="2"/>
      <c r="B66" s="2"/>
      <c r="C66" s="2"/>
      <c r="D66" s="2"/>
      <c r="E66" s="2"/>
      <c r="F66" s="2"/>
      <c r="G66" s="2"/>
      <c r="H66" s="2"/>
      <c r="I66" s="2"/>
      <c r="J66" s="2"/>
      <c r="K66" s="2"/>
      <c r="L66" s="2"/>
    </row>
    <row r="67" spans="1:12" ht="15.75" customHeight="1" x14ac:dyDescent="0.2">
      <c r="A67" s="2"/>
      <c r="B67" s="2"/>
      <c r="C67" s="2"/>
      <c r="D67" s="2"/>
      <c r="E67" s="2"/>
      <c r="F67" s="2"/>
      <c r="G67" s="2"/>
      <c r="H67" s="2"/>
      <c r="I67" s="2"/>
      <c r="J67" s="2"/>
      <c r="K67" s="2"/>
      <c r="L67" s="2"/>
    </row>
    <row r="68" spans="1:12" ht="15.75" customHeight="1" x14ac:dyDescent="0.2">
      <c r="A68" s="2"/>
      <c r="B68" s="2"/>
      <c r="C68" s="2"/>
      <c r="D68" s="2"/>
      <c r="E68" s="2"/>
      <c r="F68" s="2"/>
      <c r="G68" s="2"/>
      <c r="H68" s="2"/>
      <c r="I68" s="2"/>
      <c r="J68" s="2"/>
      <c r="K68" s="2"/>
      <c r="L68" s="2"/>
    </row>
    <row r="69" spans="1:12" ht="15.75" customHeight="1" x14ac:dyDescent="0.2">
      <c r="A69" s="2"/>
      <c r="B69" s="2"/>
      <c r="C69" s="2"/>
      <c r="D69" s="2"/>
      <c r="E69" s="2"/>
      <c r="F69" s="2"/>
      <c r="G69" s="2"/>
      <c r="H69" s="2"/>
      <c r="I69" s="2"/>
      <c r="J69" s="2"/>
      <c r="K69" s="2"/>
      <c r="L69" s="2"/>
    </row>
    <row r="70" spans="1:12" ht="15.75" customHeight="1" x14ac:dyDescent="0.2">
      <c r="A70" s="2"/>
      <c r="B70" s="2"/>
      <c r="C70" s="2"/>
      <c r="D70" s="2"/>
      <c r="E70" s="2"/>
      <c r="F70" s="2"/>
      <c r="G70" s="2"/>
      <c r="H70" s="2"/>
      <c r="I70" s="2"/>
      <c r="J70" s="2"/>
      <c r="K70" s="2"/>
      <c r="L70" s="2"/>
    </row>
    <row r="71" spans="1:12" ht="15.75" customHeight="1" x14ac:dyDescent="0.2">
      <c r="A71" s="2"/>
      <c r="B71" s="2"/>
      <c r="C71" s="2"/>
      <c r="D71" s="2"/>
      <c r="E71" s="2"/>
      <c r="F71" s="2"/>
      <c r="G71" s="2"/>
      <c r="H71" s="2"/>
      <c r="I71" s="2"/>
      <c r="J71" s="2"/>
      <c r="K71" s="2"/>
      <c r="L71" s="2"/>
    </row>
    <row r="72" spans="1:12" ht="15.75" customHeight="1" x14ac:dyDescent="0.2">
      <c r="A72" s="2"/>
      <c r="B72" s="2"/>
      <c r="C72" s="2"/>
      <c r="D72" s="2"/>
      <c r="E72" s="2"/>
      <c r="F72" s="2"/>
      <c r="G72" s="2"/>
      <c r="H72" s="2"/>
      <c r="I72" s="2"/>
      <c r="J72" s="2"/>
      <c r="K72" s="2"/>
      <c r="L72" s="2"/>
    </row>
    <row r="73" spans="1:12" ht="15.75" customHeight="1" x14ac:dyDescent="0.2">
      <c r="A73" s="2"/>
      <c r="B73" s="2"/>
      <c r="C73" s="2"/>
      <c r="D73" s="2"/>
      <c r="E73" s="2"/>
      <c r="F73" s="2"/>
      <c r="G73" s="2"/>
      <c r="H73" s="2"/>
      <c r="I73" s="2"/>
      <c r="J73" s="2"/>
      <c r="K73" s="2"/>
      <c r="L73" s="2"/>
    </row>
    <row r="74" spans="1:12" ht="15.75" customHeight="1" x14ac:dyDescent="0.2">
      <c r="A74" s="2"/>
      <c r="B74" s="2"/>
      <c r="C74" s="2"/>
      <c r="D74" s="2"/>
      <c r="E74" s="2"/>
      <c r="F74" s="2"/>
      <c r="G74" s="2"/>
      <c r="H74" s="2"/>
      <c r="I74" s="2"/>
      <c r="J74" s="2"/>
      <c r="K74" s="2"/>
      <c r="L74" s="2"/>
    </row>
    <row r="75" spans="1:12" ht="15.75" customHeight="1" x14ac:dyDescent="0.2">
      <c r="A75" s="2"/>
      <c r="B75" s="2"/>
      <c r="C75" s="2"/>
      <c r="D75" s="2"/>
      <c r="E75" s="2"/>
      <c r="F75" s="2"/>
      <c r="G75" s="2"/>
      <c r="H75" s="2"/>
      <c r="I75" s="2"/>
      <c r="J75" s="2"/>
      <c r="K75" s="2"/>
      <c r="L75" s="2"/>
    </row>
    <row r="76" spans="1:12" ht="15.75" customHeight="1" x14ac:dyDescent="0.2">
      <c r="A76" s="2"/>
      <c r="B76" s="2"/>
      <c r="C76" s="2"/>
      <c r="D76" s="2"/>
      <c r="E76" s="2"/>
      <c r="F76" s="2"/>
      <c r="G76" s="2"/>
      <c r="H76" s="2"/>
      <c r="I76" s="2"/>
      <c r="J76" s="2"/>
      <c r="K76" s="2"/>
      <c r="L76" s="2"/>
    </row>
    <row r="77" spans="1:12" ht="15.75" customHeight="1" x14ac:dyDescent="0.2">
      <c r="A77" s="2"/>
      <c r="B77" s="2"/>
      <c r="C77" s="2"/>
      <c r="D77" s="2"/>
      <c r="E77" s="2"/>
      <c r="F77" s="2"/>
      <c r="G77" s="2"/>
      <c r="H77" s="2"/>
      <c r="I77" s="2"/>
      <c r="J77" s="2"/>
      <c r="K77" s="2"/>
      <c r="L77" s="2"/>
    </row>
    <row r="78" spans="1:12" ht="15.75" customHeight="1" x14ac:dyDescent="0.2">
      <c r="A78" s="2"/>
      <c r="B78" s="2"/>
      <c r="C78" s="2"/>
      <c r="D78" s="2"/>
      <c r="E78" s="2"/>
      <c r="F78" s="2"/>
      <c r="G78" s="2"/>
      <c r="H78" s="2"/>
      <c r="I78" s="2"/>
      <c r="J78" s="2"/>
      <c r="K78" s="2"/>
      <c r="L78" s="2"/>
    </row>
    <row r="79" spans="1:12" ht="15.75" customHeight="1" x14ac:dyDescent="0.2">
      <c r="A79" s="2"/>
      <c r="B79" s="2"/>
      <c r="C79" s="2"/>
      <c r="D79" s="2"/>
      <c r="E79" s="2"/>
      <c r="F79" s="2"/>
      <c r="G79" s="2"/>
      <c r="H79" s="2"/>
      <c r="I79" s="2"/>
      <c r="J79" s="2"/>
      <c r="K79" s="2"/>
      <c r="L79" s="2"/>
    </row>
    <row r="80" spans="1:12" ht="15.75" customHeight="1" x14ac:dyDescent="0.2">
      <c r="A80" s="2"/>
      <c r="B80" s="2"/>
      <c r="C80" s="2"/>
      <c r="D80" s="2"/>
      <c r="E80" s="2"/>
      <c r="F80" s="2"/>
      <c r="G80" s="2"/>
      <c r="H80" s="2"/>
      <c r="I80" s="2"/>
      <c r="J80" s="2"/>
      <c r="K80" s="2"/>
      <c r="L80" s="2"/>
    </row>
    <row r="81" spans="1:12" ht="15.75" customHeight="1" x14ac:dyDescent="0.2">
      <c r="A81" s="2"/>
      <c r="B81" s="2"/>
      <c r="C81" s="2"/>
      <c r="D81" s="2"/>
      <c r="E81" s="2"/>
      <c r="F81" s="2"/>
      <c r="G81" s="2"/>
      <c r="H81" s="2"/>
      <c r="I81" s="2"/>
      <c r="J81" s="2"/>
      <c r="K81" s="2"/>
      <c r="L81" s="2"/>
    </row>
    <row r="82" spans="1:12" ht="15.75" customHeight="1" x14ac:dyDescent="0.2">
      <c r="A82" s="2"/>
      <c r="B82" s="2"/>
      <c r="C82" s="2"/>
      <c r="D82" s="2"/>
      <c r="E82" s="2"/>
      <c r="F82" s="2"/>
      <c r="G82" s="2"/>
      <c r="H82" s="2"/>
      <c r="I82" s="2"/>
      <c r="J82" s="2"/>
      <c r="K82" s="2"/>
      <c r="L82" s="2"/>
    </row>
    <row r="83" spans="1:12" ht="15.75" customHeight="1" x14ac:dyDescent="0.2">
      <c r="A83" s="2"/>
      <c r="B83" s="2"/>
      <c r="C83" s="2"/>
      <c r="D83" s="2"/>
      <c r="E83" s="2"/>
      <c r="F83" s="2"/>
      <c r="G83" s="2"/>
      <c r="H83" s="2"/>
      <c r="I83" s="2"/>
      <c r="J83" s="2"/>
      <c r="K83" s="2"/>
      <c r="L83" s="2"/>
    </row>
    <row r="84" spans="1:12" ht="15.75" customHeight="1" x14ac:dyDescent="0.2">
      <c r="A84" s="2"/>
      <c r="B84" s="2"/>
      <c r="C84" s="2"/>
      <c r="D84" s="2"/>
      <c r="E84" s="2"/>
      <c r="F84" s="2"/>
      <c r="G84" s="2"/>
      <c r="H84" s="2"/>
      <c r="I84" s="2"/>
      <c r="J84" s="2"/>
      <c r="K84" s="2"/>
      <c r="L84" s="2"/>
    </row>
    <row r="85" spans="1:12" ht="15.75" customHeight="1" x14ac:dyDescent="0.2">
      <c r="A85" s="2"/>
      <c r="B85" s="2"/>
      <c r="C85" s="2"/>
      <c r="D85" s="2"/>
      <c r="E85" s="2"/>
      <c r="F85" s="2"/>
      <c r="G85" s="2"/>
      <c r="H85" s="2"/>
      <c r="I85" s="2"/>
      <c r="J85" s="2"/>
      <c r="K85" s="2"/>
      <c r="L85" s="2"/>
    </row>
    <row r="86" spans="1:12" ht="15.75" customHeight="1" x14ac:dyDescent="0.2">
      <c r="A86" s="2"/>
      <c r="B86" s="2"/>
      <c r="C86" s="2"/>
      <c r="D86" s="2"/>
      <c r="E86" s="2"/>
      <c r="F86" s="2"/>
      <c r="G86" s="2"/>
      <c r="H86" s="2"/>
      <c r="I86" s="2"/>
      <c r="J86" s="2"/>
      <c r="K86" s="2"/>
      <c r="L86" s="2"/>
    </row>
    <row r="87" spans="1:12" ht="15.75" customHeight="1" x14ac:dyDescent="0.2">
      <c r="A87" s="2"/>
      <c r="B87" s="2"/>
      <c r="C87" s="2"/>
      <c r="D87" s="2"/>
      <c r="E87" s="2"/>
      <c r="F87" s="2"/>
      <c r="G87" s="2"/>
      <c r="H87" s="2"/>
      <c r="I87" s="2"/>
      <c r="J87" s="2"/>
      <c r="K87" s="2"/>
      <c r="L87" s="2"/>
    </row>
    <row r="88" spans="1:12" ht="15.75" customHeight="1" x14ac:dyDescent="0.2">
      <c r="A88" s="2"/>
      <c r="B88" s="2"/>
      <c r="C88" s="2"/>
      <c r="D88" s="2"/>
      <c r="E88" s="2"/>
      <c r="F88" s="2"/>
      <c r="G88" s="2"/>
      <c r="H88" s="2"/>
      <c r="I88" s="2"/>
      <c r="J88" s="2"/>
      <c r="K88" s="2"/>
      <c r="L88" s="2"/>
    </row>
    <row r="89" spans="1:12" ht="15.75" customHeight="1" x14ac:dyDescent="0.2">
      <c r="A89" s="2"/>
      <c r="B89" s="2"/>
      <c r="C89" s="2"/>
      <c r="D89" s="2"/>
      <c r="E89" s="2"/>
      <c r="F89" s="2"/>
      <c r="G89" s="2"/>
      <c r="H89" s="2"/>
      <c r="I89" s="2"/>
      <c r="J89" s="2"/>
      <c r="K89" s="2"/>
      <c r="L89" s="2"/>
    </row>
    <row r="90" spans="1:12" ht="15.75" customHeight="1" x14ac:dyDescent="0.2">
      <c r="A90" s="2"/>
      <c r="B90" s="2"/>
      <c r="C90" s="2"/>
      <c r="D90" s="2"/>
      <c r="E90" s="2"/>
      <c r="F90" s="2"/>
      <c r="G90" s="2"/>
      <c r="H90" s="2"/>
      <c r="I90" s="2"/>
      <c r="J90" s="2"/>
      <c r="K90" s="2"/>
      <c r="L90" s="2"/>
    </row>
    <row r="91" spans="1:12" ht="15.75" customHeight="1" x14ac:dyDescent="0.2">
      <c r="A91" s="2"/>
      <c r="B91" s="2"/>
      <c r="C91" s="2"/>
      <c r="D91" s="2"/>
      <c r="E91" s="2"/>
      <c r="F91" s="2"/>
      <c r="G91" s="2"/>
      <c r="H91" s="2"/>
      <c r="I91" s="2"/>
      <c r="J91" s="2"/>
      <c r="K91" s="2"/>
      <c r="L91" s="2"/>
    </row>
    <row r="92" spans="1:12" ht="15.75" customHeight="1" x14ac:dyDescent="0.2">
      <c r="A92" s="2"/>
      <c r="B92" s="2"/>
      <c r="C92" s="2"/>
      <c r="D92" s="2"/>
      <c r="E92" s="2"/>
      <c r="F92" s="2"/>
      <c r="G92" s="2"/>
      <c r="H92" s="2"/>
      <c r="I92" s="2"/>
      <c r="J92" s="2"/>
      <c r="K92" s="2"/>
      <c r="L92" s="2"/>
    </row>
    <row r="93" spans="1:12" ht="15.75" customHeight="1" x14ac:dyDescent="0.2">
      <c r="A93" s="2"/>
      <c r="B93" s="2"/>
      <c r="C93" s="2"/>
      <c r="D93" s="2"/>
      <c r="E93" s="2"/>
      <c r="F93" s="2"/>
      <c r="G93" s="2"/>
      <c r="H93" s="2"/>
      <c r="I93" s="2"/>
      <c r="J93" s="2"/>
      <c r="K93" s="2"/>
      <c r="L93" s="2"/>
    </row>
    <row r="94" spans="1:12" ht="15.75" customHeight="1" x14ac:dyDescent="0.2">
      <c r="A94" s="2"/>
      <c r="B94" s="2"/>
      <c r="C94" s="2"/>
      <c r="D94" s="2"/>
      <c r="E94" s="2"/>
      <c r="F94" s="2"/>
      <c r="G94" s="2"/>
      <c r="H94" s="2"/>
      <c r="I94" s="2"/>
      <c r="J94" s="2"/>
      <c r="K94" s="2"/>
      <c r="L94" s="2"/>
    </row>
    <row r="95" spans="1:12" ht="15.75" customHeight="1" x14ac:dyDescent="0.2">
      <c r="A95" s="2"/>
      <c r="B95" s="2"/>
      <c r="C95" s="2"/>
      <c r="D95" s="2"/>
      <c r="E95" s="2"/>
      <c r="F95" s="2"/>
      <c r="G95" s="2"/>
      <c r="H95" s="2"/>
      <c r="I95" s="2"/>
      <c r="J95" s="2"/>
      <c r="K95" s="2"/>
      <c r="L95" s="2"/>
    </row>
    <row r="96" spans="1:12" ht="15.75" customHeight="1" x14ac:dyDescent="0.2">
      <c r="A96" s="2"/>
      <c r="B96" s="2"/>
      <c r="C96" s="2"/>
      <c r="D96" s="2"/>
      <c r="E96" s="2"/>
      <c r="F96" s="2"/>
      <c r="G96" s="2"/>
      <c r="H96" s="2"/>
      <c r="I96" s="2"/>
      <c r="J96" s="2"/>
      <c r="K96" s="2"/>
      <c r="L96" s="2"/>
    </row>
    <row r="97" spans="1:12" ht="15.75" customHeight="1" x14ac:dyDescent="0.2">
      <c r="A97" s="2"/>
      <c r="B97" s="2"/>
      <c r="C97" s="2"/>
      <c r="D97" s="2"/>
      <c r="E97" s="2"/>
      <c r="F97" s="2"/>
      <c r="G97" s="2"/>
      <c r="H97" s="2"/>
      <c r="I97" s="2"/>
      <c r="J97" s="2"/>
      <c r="K97" s="2"/>
      <c r="L97" s="2"/>
    </row>
    <row r="98" spans="1:12" ht="15.75" customHeight="1" x14ac:dyDescent="0.2">
      <c r="A98" s="2"/>
      <c r="B98" s="2"/>
      <c r="C98" s="2"/>
      <c r="D98" s="2"/>
      <c r="E98" s="2"/>
      <c r="F98" s="2"/>
      <c r="G98" s="2"/>
      <c r="H98" s="2"/>
      <c r="I98" s="2"/>
      <c r="J98" s="2"/>
      <c r="K98" s="2"/>
      <c r="L98" s="2"/>
    </row>
    <row r="99" spans="1:12" ht="15.75" customHeight="1" x14ac:dyDescent="0.2">
      <c r="A99" s="2"/>
      <c r="B99" s="2"/>
      <c r="C99" s="2"/>
      <c r="D99" s="2"/>
      <c r="E99" s="2"/>
      <c r="F99" s="2"/>
      <c r="G99" s="2"/>
      <c r="H99" s="2"/>
      <c r="I99" s="2"/>
      <c r="J99" s="2"/>
      <c r="K99" s="2"/>
      <c r="L99" s="2"/>
    </row>
    <row r="100" spans="1:12" ht="15.75" customHeight="1" x14ac:dyDescent="0.2">
      <c r="A100" s="2"/>
      <c r="B100" s="2"/>
      <c r="C100" s="2"/>
      <c r="D100" s="2"/>
      <c r="E100" s="2"/>
      <c r="F100" s="2"/>
      <c r="G100" s="2"/>
      <c r="H100" s="2"/>
      <c r="I100" s="2"/>
      <c r="J100" s="2"/>
      <c r="K100" s="2"/>
      <c r="L100" s="2"/>
    </row>
    <row r="101" spans="1:12" ht="15.75" customHeight="1" x14ac:dyDescent="0.2">
      <c r="A101" s="2"/>
      <c r="B101" s="2"/>
      <c r="C101" s="2"/>
      <c r="D101" s="2"/>
      <c r="E101" s="2"/>
      <c r="F101" s="2"/>
      <c r="G101" s="2"/>
      <c r="H101" s="2"/>
      <c r="I101" s="2"/>
      <c r="J101" s="2"/>
      <c r="K101" s="2"/>
      <c r="L101" s="2"/>
    </row>
    <row r="102" spans="1:12" ht="15.75" customHeight="1" x14ac:dyDescent="0.2">
      <c r="A102" s="2"/>
      <c r="B102" s="2"/>
      <c r="C102" s="2"/>
      <c r="D102" s="2"/>
      <c r="E102" s="2"/>
      <c r="F102" s="2"/>
      <c r="G102" s="2"/>
      <c r="H102" s="2"/>
      <c r="I102" s="2"/>
      <c r="J102" s="2"/>
      <c r="K102" s="2"/>
      <c r="L102" s="2"/>
    </row>
    <row r="103" spans="1:12" ht="15.75" customHeight="1" x14ac:dyDescent="0.2">
      <c r="A103" s="2"/>
      <c r="B103" s="2"/>
      <c r="C103" s="2"/>
      <c r="D103" s="2"/>
      <c r="E103" s="2"/>
      <c r="F103" s="2"/>
      <c r="G103" s="2"/>
      <c r="H103" s="2"/>
      <c r="I103" s="2"/>
      <c r="J103" s="2"/>
      <c r="K103" s="2"/>
      <c r="L103" s="2"/>
    </row>
    <row r="104" spans="1:12" ht="15.75" customHeight="1" x14ac:dyDescent="0.2">
      <c r="A104" s="2"/>
      <c r="B104" s="2"/>
      <c r="C104" s="2"/>
      <c r="D104" s="2"/>
      <c r="E104" s="2"/>
      <c r="F104" s="2"/>
      <c r="G104" s="2"/>
      <c r="H104" s="2"/>
      <c r="I104" s="2"/>
      <c r="J104" s="2"/>
      <c r="K104" s="2"/>
      <c r="L104" s="2"/>
    </row>
    <row r="105" spans="1:12" ht="15.75" customHeight="1" x14ac:dyDescent="0.2">
      <c r="A105" s="2"/>
      <c r="B105" s="2"/>
      <c r="C105" s="2"/>
      <c r="D105" s="2"/>
      <c r="E105" s="2"/>
      <c r="F105" s="2"/>
      <c r="G105" s="2"/>
      <c r="H105" s="2"/>
      <c r="I105" s="2"/>
      <c r="J105" s="2"/>
      <c r="K105" s="2"/>
      <c r="L105" s="2"/>
    </row>
    <row r="106" spans="1:12" ht="15.75" customHeight="1" x14ac:dyDescent="0.2">
      <c r="A106" s="2"/>
      <c r="B106" s="2"/>
      <c r="C106" s="2"/>
      <c r="D106" s="2"/>
      <c r="E106" s="2"/>
      <c r="F106" s="2"/>
      <c r="G106" s="2"/>
      <c r="H106" s="2"/>
      <c r="I106" s="2"/>
      <c r="J106" s="2"/>
      <c r="K106" s="2"/>
      <c r="L106" s="2"/>
    </row>
    <row r="107" spans="1:12" ht="15.75" customHeight="1" x14ac:dyDescent="0.2">
      <c r="A107" s="2"/>
      <c r="B107" s="2"/>
      <c r="C107" s="2"/>
      <c r="D107" s="2"/>
      <c r="E107" s="2"/>
      <c r="F107" s="2"/>
      <c r="G107" s="2"/>
      <c r="H107" s="2"/>
      <c r="I107" s="2"/>
      <c r="J107" s="2"/>
      <c r="K107" s="2"/>
      <c r="L107" s="2"/>
    </row>
    <row r="108" spans="1:12" ht="15.75" customHeight="1" x14ac:dyDescent="0.2">
      <c r="A108" s="2"/>
      <c r="B108" s="2"/>
      <c r="C108" s="2"/>
      <c r="D108" s="2"/>
      <c r="E108" s="2"/>
      <c r="F108" s="2"/>
      <c r="G108" s="2"/>
      <c r="H108" s="2"/>
      <c r="I108" s="2"/>
      <c r="J108" s="2"/>
      <c r="K108" s="2"/>
      <c r="L108" s="2"/>
    </row>
    <row r="109" spans="1:12" ht="15.75" customHeight="1" x14ac:dyDescent="0.2">
      <c r="A109" s="2"/>
      <c r="B109" s="2"/>
      <c r="C109" s="2"/>
      <c r="D109" s="2"/>
      <c r="E109" s="2"/>
      <c r="F109" s="2"/>
      <c r="G109" s="2"/>
      <c r="H109" s="2"/>
      <c r="I109" s="2"/>
      <c r="J109" s="2"/>
      <c r="K109" s="2"/>
      <c r="L109" s="2"/>
    </row>
    <row r="110" spans="1:12" ht="15.75" customHeight="1" x14ac:dyDescent="0.2">
      <c r="A110" s="2"/>
      <c r="B110" s="2"/>
      <c r="C110" s="2"/>
      <c r="D110" s="2"/>
      <c r="E110" s="2"/>
      <c r="F110" s="2"/>
      <c r="G110" s="2"/>
      <c r="H110" s="2"/>
      <c r="I110" s="2"/>
      <c r="J110" s="2"/>
      <c r="K110" s="2"/>
      <c r="L110" s="2"/>
    </row>
    <row r="111" spans="1:12" ht="15.75" customHeight="1" x14ac:dyDescent="0.2">
      <c r="A111" s="2"/>
      <c r="B111" s="2"/>
      <c r="C111" s="2"/>
      <c r="D111" s="2"/>
      <c r="E111" s="2"/>
      <c r="F111" s="2"/>
      <c r="G111" s="2"/>
      <c r="H111" s="2"/>
      <c r="I111" s="2"/>
      <c r="J111" s="2"/>
      <c r="K111" s="2"/>
      <c r="L111" s="2"/>
    </row>
    <row r="112" spans="1:12" ht="15.75" customHeight="1" x14ac:dyDescent="0.2">
      <c r="A112" s="2"/>
      <c r="B112" s="2"/>
      <c r="C112" s="2"/>
      <c r="D112" s="2"/>
      <c r="E112" s="2"/>
      <c r="F112" s="2"/>
      <c r="G112" s="2"/>
      <c r="H112" s="2"/>
      <c r="I112" s="2"/>
      <c r="J112" s="2"/>
      <c r="K112" s="2"/>
      <c r="L112" s="2"/>
    </row>
    <row r="113" spans="1:12" ht="15.75" customHeight="1" x14ac:dyDescent="0.2">
      <c r="A113" s="2"/>
      <c r="B113" s="2"/>
      <c r="C113" s="2"/>
      <c r="D113" s="2"/>
      <c r="E113" s="2"/>
      <c r="F113" s="2"/>
      <c r="G113" s="2"/>
      <c r="H113" s="2"/>
      <c r="I113" s="2"/>
      <c r="J113" s="2"/>
      <c r="K113" s="2"/>
      <c r="L113" s="2"/>
    </row>
    <row r="114" spans="1:12" ht="15.75" customHeight="1" x14ac:dyDescent="0.2">
      <c r="A114" s="2"/>
      <c r="B114" s="2"/>
      <c r="C114" s="2"/>
      <c r="D114" s="2"/>
      <c r="E114" s="2"/>
      <c r="F114" s="2"/>
      <c r="G114" s="2"/>
      <c r="H114" s="2"/>
      <c r="I114" s="2"/>
      <c r="J114" s="2"/>
      <c r="K114" s="2"/>
      <c r="L114" s="2"/>
    </row>
    <row r="115" spans="1:12" ht="15.75" customHeight="1" x14ac:dyDescent="0.2">
      <c r="A115" s="2"/>
      <c r="B115" s="2"/>
      <c r="C115" s="2"/>
      <c r="D115" s="2"/>
      <c r="E115" s="2"/>
      <c r="F115" s="2"/>
      <c r="G115" s="2"/>
      <c r="H115" s="2"/>
      <c r="I115" s="2"/>
      <c r="J115" s="2"/>
      <c r="K115" s="2"/>
      <c r="L115" s="2"/>
    </row>
    <row r="116" spans="1:12" ht="15.75" customHeight="1" x14ac:dyDescent="0.2">
      <c r="A116" s="2"/>
      <c r="B116" s="2"/>
      <c r="C116" s="2"/>
      <c r="D116" s="2"/>
      <c r="E116" s="2"/>
      <c r="F116" s="2"/>
      <c r="G116" s="2"/>
      <c r="H116" s="2"/>
      <c r="I116" s="2"/>
      <c r="J116" s="2"/>
      <c r="K116" s="2"/>
      <c r="L116" s="2"/>
    </row>
    <row r="117" spans="1:12" ht="15.75" customHeight="1" x14ac:dyDescent="0.2">
      <c r="A117" s="2"/>
      <c r="B117" s="2"/>
      <c r="C117" s="2"/>
      <c r="D117" s="2"/>
      <c r="E117" s="2"/>
      <c r="F117" s="2"/>
      <c r="G117" s="2"/>
      <c r="H117" s="2"/>
      <c r="I117" s="2"/>
      <c r="J117" s="2"/>
      <c r="K117" s="2"/>
      <c r="L117" s="2"/>
    </row>
    <row r="118" spans="1:12" ht="15.75" customHeight="1" x14ac:dyDescent="0.2">
      <c r="A118" s="2"/>
      <c r="B118" s="2"/>
      <c r="C118" s="2"/>
      <c r="D118" s="2"/>
      <c r="E118" s="2"/>
      <c r="F118" s="2"/>
      <c r="G118" s="2"/>
      <c r="H118" s="2"/>
      <c r="I118" s="2"/>
      <c r="J118" s="2"/>
      <c r="K118" s="2"/>
      <c r="L118" s="2"/>
    </row>
    <row r="119" spans="1:12" ht="15.75" customHeight="1" x14ac:dyDescent="0.2">
      <c r="A119" s="2"/>
      <c r="B119" s="2"/>
      <c r="C119" s="2"/>
      <c r="D119" s="2"/>
      <c r="E119" s="2"/>
      <c r="F119" s="2"/>
      <c r="G119" s="2"/>
      <c r="H119" s="2"/>
      <c r="I119" s="2"/>
      <c r="J119" s="2"/>
      <c r="K119" s="2"/>
      <c r="L119" s="2"/>
    </row>
    <row r="120" spans="1:12" ht="15.75" customHeight="1" x14ac:dyDescent="0.2">
      <c r="A120" s="2"/>
      <c r="B120" s="2"/>
      <c r="C120" s="2"/>
      <c r="D120" s="2"/>
      <c r="E120" s="2"/>
      <c r="F120" s="2"/>
      <c r="G120" s="2"/>
      <c r="H120" s="2"/>
      <c r="I120" s="2"/>
      <c r="J120" s="2"/>
      <c r="K120" s="2"/>
      <c r="L120" s="2"/>
    </row>
    <row r="121" spans="1:12" ht="15.75" customHeight="1" x14ac:dyDescent="0.2">
      <c r="A121" s="2"/>
      <c r="B121" s="2"/>
      <c r="C121" s="2"/>
      <c r="D121" s="2"/>
      <c r="E121" s="2"/>
      <c r="F121" s="2"/>
      <c r="G121" s="2"/>
      <c r="H121" s="2"/>
      <c r="I121" s="2"/>
      <c r="J121" s="2"/>
      <c r="K121" s="2"/>
      <c r="L121" s="2"/>
    </row>
    <row r="122" spans="1:12" ht="15.75" customHeight="1" x14ac:dyDescent="0.2">
      <c r="A122" s="2"/>
      <c r="B122" s="2"/>
      <c r="C122" s="2"/>
      <c r="D122" s="2"/>
      <c r="E122" s="2"/>
      <c r="F122" s="2"/>
      <c r="G122" s="2"/>
      <c r="H122" s="2"/>
      <c r="I122" s="2"/>
      <c r="J122" s="2"/>
      <c r="K122" s="2"/>
      <c r="L122" s="2"/>
    </row>
    <row r="123" spans="1:12" ht="15.75" customHeight="1" x14ac:dyDescent="0.2">
      <c r="A123" s="2"/>
      <c r="B123" s="2"/>
      <c r="C123" s="2"/>
      <c r="D123" s="2"/>
      <c r="E123" s="2"/>
      <c r="F123" s="2"/>
      <c r="G123" s="2"/>
      <c r="H123" s="2"/>
      <c r="I123" s="2"/>
      <c r="J123" s="2"/>
      <c r="K123" s="2"/>
      <c r="L123" s="2"/>
    </row>
    <row r="124" spans="1:12" ht="15.75" customHeight="1" x14ac:dyDescent="0.2">
      <c r="A124" s="2"/>
      <c r="B124" s="2"/>
      <c r="C124" s="2"/>
      <c r="D124" s="2"/>
      <c r="E124" s="2"/>
      <c r="F124" s="2"/>
      <c r="G124" s="2"/>
      <c r="H124" s="2"/>
      <c r="I124" s="2"/>
      <c r="J124" s="2"/>
      <c r="K124" s="2"/>
      <c r="L124" s="2"/>
    </row>
    <row r="125" spans="1:12" ht="15.75" customHeight="1" x14ac:dyDescent="0.2">
      <c r="A125" s="2"/>
      <c r="B125" s="2"/>
      <c r="C125" s="2"/>
      <c r="D125" s="2"/>
      <c r="E125" s="2"/>
      <c r="F125" s="2"/>
      <c r="G125" s="2"/>
      <c r="H125" s="2"/>
      <c r="I125" s="2"/>
      <c r="J125" s="2"/>
      <c r="K125" s="2"/>
      <c r="L125" s="2"/>
    </row>
    <row r="126" spans="1:12" ht="15.75" customHeight="1" x14ac:dyDescent="0.2">
      <c r="A126" s="2"/>
      <c r="B126" s="2"/>
      <c r="C126" s="2"/>
      <c r="D126" s="2"/>
      <c r="E126" s="2"/>
      <c r="F126" s="2"/>
      <c r="G126" s="2"/>
      <c r="H126" s="2"/>
      <c r="I126" s="2"/>
      <c r="J126" s="2"/>
      <c r="K126" s="2"/>
      <c r="L126" s="2"/>
    </row>
    <row r="127" spans="1:12" ht="15.75" customHeight="1" x14ac:dyDescent="0.2">
      <c r="A127" s="2"/>
      <c r="B127" s="2"/>
      <c r="C127" s="2"/>
      <c r="D127" s="2"/>
      <c r="E127" s="2"/>
      <c r="F127" s="2"/>
      <c r="G127" s="2"/>
      <c r="H127" s="2"/>
      <c r="I127" s="2"/>
      <c r="J127" s="2"/>
      <c r="K127" s="2"/>
      <c r="L127" s="2"/>
    </row>
    <row r="128" spans="1:12" ht="15.75" customHeight="1" x14ac:dyDescent="0.2">
      <c r="A128" s="2"/>
      <c r="B128" s="2"/>
      <c r="C128" s="2"/>
      <c r="D128" s="2"/>
      <c r="E128" s="2"/>
      <c r="F128" s="2"/>
      <c r="G128" s="2"/>
      <c r="H128" s="2"/>
      <c r="I128" s="2"/>
      <c r="J128" s="2"/>
      <c r="K128" s="2"/>
      <c r="L128" s="2"/>
    </row>
    <row r="129" spans="1:12" ht="15.75" customHeight="1" x14ac:dyDescent="0.2">
      <c r="A129" s="2"/>
      <c r="B129" s="2"/>
      <c r="C129" s="2"/>
      <c r="D129" s="2"/>
      <c r="E129" s="2"/>
      <c r="F129" s="2"/>
      <c r="G129" s="2"/>
      <c r="H129" s="2"/>
      <c r="I129" s="2"/>
      <c r="J129" s="2"/>
      <c r="K129" s="2"/>
      <c r="L129" s="2"/>
    </row>
    <row r="130" spans="1:12" ht="15.75" customHeight="1" x14ac:dyDescent="0.2">
      <c r="A130" s="2"/>
      <c r="B130" s="2"/>
      <c r="C130" s="2"/>
      <c r="D130" s="2"/>
      <c r="E130" s="2"/>
      <c r="F130" s="2"/>
      <c r="G130" s="2"/>
      <c r="H130" s="2"/>
      <c r="I130" s="2"/>
      <c r="J130" s="2"/>
      <c r="K130" s="2"/>
      <c r="L130" s="2"/>
    </row>
    <row r="131" spans="1:12" ht="15.75" customHeight="1" x14ac:dyDescent="0.2">
      <c r="A131" s="2"/>
      <c r="B131" s="2"/>
      <c r="C131" s="2"/>
      <c r="D131" s="2"/>
      <c r="E131" s="2"/>
      <c r="F131" s="2"/>
      <c r="G131" s="2"/>
      <c r="H131" s="2"/>
      <c r="I131" s="2"/>
      <c r="J131" s="2"/>
      <c r="K131" s="2"/>
      <c r="L131" s="2"/>
    </row>
    <row r="132" spans="1:12" ht="15.75" customHeight="1" x14ac:dyDescent="0.2">
      <c r="A132" s="2"/>
      <c r="B132" s="2"/>
      <c r="C132" s="2"/>
      <c r="D132" s="2"/>
      <c r="E132" s="2"/>
      <c r="F132" s="2"/>
      <c r="G132" s="2"/>
      <c r="H132" s="2"/>
      <c r="I132" s="2"/>
      <c r="J132" s="2"/>
      <c r="K132" s="2"/>
      <c r="L132" s="2"/>
    </row>
    <row r="133" spans="1:12" ht="15.75" customHeight="1" x14ac:dyDescent="0.2">
      <c r="A133" s="2"/>
      <c r="B133" s="2"/>
      <c r="C133" s="2"/>
      <c r="D133" s="2"/>
      <c r="E133" s="2"/>
      <c r="F133" s="2"/>
      <c r="G133" s="2"/>
      <c r="H133" s="2"/>
      <c r="I133" s="2"/>
      <c r="J133" s="2"/>
      <c r="K133" s="2"/>
      <c r="L133" s="2"/>
    </row>
    <row r="134" spans="1:12" ht="15.75" customHeight="1" x14ac:dyDescent="0.2">
      <c r="A134" s="2"/>
      <c r="B134" s="2"/>
      <c r="C134" s="2"/>
      <c r="D134" s="2"/>
      <c r="E134" s="2"/>
      <c r="F134" s="2"/>
      <c r="G134" s="2"/>
      <c r="H134" s="2"/>
      <c r="I134" s="2"/>
      <c r="J134" s="2"/>
      <c r="K134" s="2"/>
      <c r="L134" s="2"/>
    </row>
    <row r="135" spans="1:12" ht="15.75" customHeight="1" x14ac:dyDescent="0.2">
      <c r="A135" s="2"/>
      <c r="B135" s="2"/>
      <c r="C135" s="2"/>
      <c r="D135" s="2"/>
      <c r="E135" s="2"/>
      <c r="F135" s="2"/>
      <c r="G135" s="2"/>
      <c r="H135" s="2"/>
      <c r="I135" s="2"/>
      <c r="J135" s="2"/>
      <c r="K135" s="2"/>
      <c r="L135" s="2"/>
    </row>
    <row r="136" spans="1:12" ht="15.75" customHeight="1" x14ac:dyDescent="0.2">
      <c r="A136" s="2"/>
      <c r="B136" s="2"/>
      <c r="C136" s="2"/>
      <c r="D136" s="2"/>
      <c r="E136" s="2"/>
      <c r="F136" s="2"/>
      <c r="G136" s="2"/>
      <c r="H136" s="2"/>
      <c r="I136" s="2"/>
      <c r="J136" s="2"/>
      <c r="K136" s="2"/>
      <c r="L136" s="2"/>
    </row>
    <row r="137" spans="1:12" ht="15.75" customHeight="1" x14ac:dyDescent="0.2">
      <c r="A137" s="2"/>
      <c r="B137" s="2"/>
      <c r="C137" s="2"/>
      <c r="D137" s="2"/>
      <c r="E137" s="2"/>
      <c r="F137" s="2"/>
      <c r="G137" s="2"/>
      <c r="H137" s="2"/>
      <c r="I137" s="2"/>
      <c r="J137" s="2"/>
      <c r="K137" s="2"/>
      <c r="L137" s="2"/>
    </row>
    <row r="138" spans="1:12" ht="15.75" customHeight="1" x14ac:dyDescent="0.2">
      <c r="A138" s="2"/>
      <c r="B138" s="2"/>
      <c r="C138" s="2"/>
      <c r="D138" s="2"/>
      <c r="E138" s="2"/>
      <c r="F138" s="2"/>
      <c r="G138" s="2"/>
      <c r="H138" s="2"/>
      <c r="I138" s="2"/>
      <c r="J138" s="2"/>
      <c r="K138" s="2"/>
      <c r="L138" s="2"/>
    </row>
    <row r="139" spans="1:12" ht="15.75" customHeight="1" x14ac:dyDescent="0.2">
      <c r="A139" s="2"/>
      <c r="B139" s="2"/>
      <c r="C139" s="2"/>
      <c r="D139" s="2"/>
      <c r="E139" s="2"/>
      <c r="F139" s="2"/>
      <c r="G139" s="2"/>
      <c r="H139" s="2"/>
      <c r="I139" s="2"/>
      <c r="J139" s="2"/>
      <c r="K139" s="2"/>
      <c r="L139" s="2"/>
    </row>
    <row r="140" spans="1:12" ht="15.75" customHeight="1" x14ac:dyDescent="0.2">
      <c r="A140" s="2"/>
      <c r="B140" s="2"/>
      <c r="C140" s="2"/>
      <c r="D140" s="2"/>
      <c r="E140" s="2"/>
      <c r="F140" s="2"/>
      <c r="G140" s="2"/>
      <c r="H140" s="2"/>
      <c r="I140" s="2"/>
      <c r="J140" s="2"/>
      <c r="K140" s="2"/>
      <c r="L140" s="2"/>
    </row>
    <row r="141" spans="1:12" ht="15.75" customHeight="1" x14ac:dyDescent="0.2">
      <c r="A141" s="2"/>
      <c r="B141" s="2"/>
      <c r="C141" s="2"/>
      <c r="D141" s="2"/>
      <c r="E141" s="2"/>
      <c r="F141" s="2"/>
      <c r="G141" s="2"/>
      <c r="H141" s="2"/>
      <c r="I141" s="2"/>
      <c r="J141" s="2"/>
      <c r="K141" s="2"/>
      <c r="L141" s="2"/>
    </row>
    <row r="142" spans="1:12" ht="15.75" customHeight="1" x14ac:dyDescent="0.2">
      <c r="A142" s="2"/>
      <c r="B142" s="2"/>
      <c r="C142" s="2"/>
      <c r="D142" s="2"/>
      <c r="E142" s="2"/>
      <c r="F142" s="2"/>
      <c r="G142" s="2"/>
      <c r="H142" s="2"/>
      <c r="I142" s="2"/>
      <c r="J142" s="2"/>
      <c r="K142" s="2"/>
      <c r="L142" s="2"/>
    </row>
    <row r="143" spans="1:12" ht="15.75" customHeight="1" x14ac:dyDescent="0.2">
      <c r="A143" s="2"/>
      <c r="B143" s="2"/>
      <c r="C143" s="2"/>
      <c r="D143" s="2"/>
      <c r="E143" s="2"/>
      <c r="F143" s="2"/>
      <c r="G143" s="2"/>
      <c r="H143" s="2"/>
      <c r="I143" s="2"/>
      <c r="J143" s="2"/>
      <c r="K143" s="2"/>
      <c r="L143" s="2"/>
    </row>
    <row r="144" spans="1:12" ht="15.75" customHeight="1" x14ac:dyDescent="0.2">
      <c r="A144" s="2"/>
      <c r="B144" s="2"/>
      <c r="C144" s="2"/>
      <c r="D144" s="2"/>
      <c r="E144" s="2"/>
      <c r="F144" s="2"/>
      <c r="G144" s="2"/>
      <c r="H144" s="2"/>
      <c r="I144" s="2"/>
      <c r="J144" s="2"/>
      <c r="K144" s="2"/>
      <c r="L144" s="2"/>
    </row>
    <row r="145" spans="1:12" ht="15.75" customHeight="1" x14ac:dyDescent="0.2">
      <c r="A145" s="2"/>
      <c r="B145" s="2"/>
      <c r="C145" s="2"/>
      <c r="D145" s="2"/>
      <c r="E145" s="2"/>
      <c r="F145" s="2"/>
      <c r="G145" s="2"/>
      <c r="H145" s="2"/>
      <c r="I145" s="2"/>
      <c r="J145" s="2"/>
      <c r="K145" s="2"/>
      <c r="L145" s="2"/>
    </row>
    <row r="146" spans="1:12" ht="15.75" customHeight="1" x14ac:dyDescent="0.2">
      <c r="A146" s="2"/>
      <c r="B146" s="2"/>
      <c r="C146" s="2"/>
      <c r="D146" s="2"/>
      <c r="E146" s="2"/>
      <c r="F146" s="2"/>
      <c r="G146" s="2"/>
      <c r="H146" s="2"/>
      <c r="I146" s="2"/>
      <c r="J146" s="2"/>
      <c r="K146" s="2"/>
      <c r="L146" s="2"/>
    </row>
    <row r="147" spans="1:12" ht="15.75" customHeight="1" x14ac:dyDescent="0.2">
      <c r="A147" s="2"/>
      <c r="B147" s="2"/>
      <c r="C147" s="2"/>
      <c r="D147" s="2"/>
      <c r="E147" s="2"/>
      <c r="F147" s="2"/>
      <c r="G147" s="2"/>
      <c r="H147" s="2"/>
      <c r="I147" s="2"/>
      <c r="J147" s="2"/>
      <c r="K147" s="2"/>
      <c r="L147" s="2"/>
    </row>
    <row r="148" spans="1:12" ht="15.75" customHeight="1" x14ac:dyDescent="0.2">
      <c r="A148" s="2"/>
      <c r="B148" s="2"/>
      <c r="C148" s="2"/>
      <c r="D148" s="2"/>
      <c r="E148" s="2"/>
      <c r="F148" s="2"/>
      <c r="G148" s="2"/>
      <c r="H148" s="2"/>
      <c r="I148" s="2"/>
      <c r="J148" s="2"/>
      <c r="K148" s="2"/>
      <c r="L148" s="2"/>
    </row>
    <row r="149" spans="1:12" ht="15.75" customHeight="1" x14ac:dyDescent="0.2">
      <c r="A149" s="2"/>
      <c r="B149" s="2"/>
      <c r="C149" s="2"/>
      <c r="D149" s="2"/>
      <c r="E149" s="2"/>
      <c r="F149" s="2"/>
      <c r="G149" s="2"/>
      <c r="H149" s="2"/>
      <c r="I149" s="2"/>
      <c r="J149" s="2"/>
      <c r="K149" s="2"/>
      <c r="L149" s="2"/>
    </row>
    <row r="150" spans="1:12" ht="15.75" customHeight="1" x14ac:dyDescent="0.2">
      <c r="A150" s="2"/>
      <c r="B150" s="2"/>
      <c r="C150" s="2"/>
      <c r="D150" s="2"/>
      <c r="E150" s="2"/>
      <c r="F150" s="2"/>
      <c r="G150" s="2"/>
      <c r="H150" s="2"/>
      <c r="I150" s="2"/>
      <c r="J150" s="2"/>
      <c r="K150" s="2"/>
      <c r="L150" s="2"/>
    </row>
    <row r="151" spans="1:12" ht="15.75" customHeight="1" x14ac:dyDescent="0.2">
      <c r="A151" s="2"/>
      <c r="B151" s="2"/>
      <c r="C151" s="2"/>
      <c r="D151" s="2"/>
      <c r="E151" s="2"/>
      <c r="F151" s="2"/>
      <c r="G151" s="2"/>
      <c r="H151" s="2"/>
      <c r="I151" s="2"/>
      <c r="J151" s="2"/>
      <c r="K151" s="2"/>
      <c r="L151" s="2"/>
    </row>
    <row r="152" spans="1:12" ht="15.75" customHeight="1" x14ac:dyDescent="0.2">
      <c r="A152" s="2"/>
      <c r="B152" s="2"/>
      <c r="C152" s="2"/>
      <c r="D152" s="2"/>
      <c r="E152" s="2"/>
      <c r="F152" s="2"/>
      <c r="G152" s="2"/>
      <c r="H152" s="2"/>
      <c r="I152" s="2"/>
      <c r="J152" s="2"/>
      <c r="K152" s="2"/>
      <c r="L152" s="2"/>
    </row>
    <row r="153" spans="1:12" ht="15.75" customHeight="1" x14ac:dyDescent="0.2">
      <c r="A153" s="2"/>
      <c r="B153" s="2"/>
      <c r="C153" s="2"/>
      <c r="D153" s="2"/>
      <c r="E153" s="2"/>
      <c r="F153" s="2"/>
      <c r="G153" s="2"/>
      <c r="H153" s="2"/>
      <c r="I153" s="2"/>
      <c r="J153" s="2"/>
      <c r="K153" s="2"/>
      <c r="L153" s="2"/>
    </row>
    <row r="154" spans="1:12" ht="15.75" customHeight="1" x14ac:dyDescent="0.2">
      <c r="A154" s="2"/>
      <c r="B154" s="2"/>
      <c r="C154" s="2"/>
      <c r="D154" s="2"/>
      <c r="E154" s="2"/>
      <c r="F154" s="2"/>
      <c r="G154" s="2"/>
      <c r="H154" s="2"/>
      <c r="I154" s="2"/>
      <c r="J154" s="2"/>
      <c r="K154" s="2"/>
      <c r="L154" s="2"/>
    </row>
    <row r="155" spans="1:12" ht="15.75" customHeight="1" x14ac:dyDescent="0.2">
      <c r="A155" s="2"/>
      <c r="B155" s="2"/>
      <c r="C155" s="2"/>
      <c r="D155" s="2"/>
      <c r="E155" s="2"/>
      <c r="F155" s="2"/>
      <c r="G155" s="2"/>
      <c r="H155" s="2"/>
      <c r="I155" s="2"/>
      <c r="J155" s="2"/>
      <c r="K155" s="2"/>
      <c r="L155" s="2"/>
    </row>
    <row r="156" spans="1:12" ht="15.75" customHeight="1" x14ac:dyDescent="0.2">
      <c r="A156" s="2"/>
      <c r="B156" s="2"/>
      <c r="C156" s="2"/>
      <c r="D156" s="2"/>
      <c r="E156" s="2"/>
      <c r="F156" s="2"/>
      <c r="G156" s="2"/>
      <c r="H156" s="2"/>
      <c r="I156" s="2"/>
      <c r="J156" s="2"/>
      <c r="K156" s="2"/>
      <c r="L156" s="2"/>
    </row>
    <row r="157" spans="1:12" ht="15.75" customHeight="1" x14ac:dyDescent="0.2">
      <c r="A157" s="2"/>
      <c r="B157" s="2"/>
      <c r="C157" s="2"/>
      <c r="D157" s="2"/>
      <c r="E157" s="2"/>
      <c r="F157" s="2"/>
      <c r="G157" s="2"/>
      <c r="H157" s="2"/>
      <c r="I157" s="2"/>
      <c r="J157" s="2"/>
      <c r="K157" s="2"/>
      <c r="L157" s="2"/>
    </row>
    <row r="158" spans="1:12" ht="15.75" customHeight="1" x14ac:dyDescent="0.2">
      <c r="A158" s="2"/>
      <c r="B158" s="2"/>
      <c r="C158" s="2"/>
      <c r="D158" s="2"/>
      <c r="E158" s="2"/>
      <c r="F158" s="2"/>
      <c r="G158" s="2"/>
      <c r="H158" s="2"/>
      <c r="I158" s="2"/>
      <c r="J158" s="2"/>
      <c r="K158" s="2"/>
      <c r="L158" s="2"/>
    </row>
    <row r="159" spans="1:12" ht="15.75" customHeight="1" x14ac:dyDescent="0.2">
      <c r="A159" s="2"/>
      <c r="B159" s="2"/>
      <c r="C159" s="2"/>
      <c r="D159" s="2"/>
      <c r="E159" s="2"/>
      <c r="F159" s="2"/>
      <c r="G159" s="2"/>
      <c r="H159" s="2"/>
      <c r="I159" s="2"/>
      <c r="J159" s="2"/>
      <c r="K159" s="2"/>
      <c r="L159" s="2"/>
    </row>
    <row r="160" spans="1:12" ht="15.75" customHeight="1" x14ac:dyDescent="0.2">
      <c r="A160" s="2"/>
      <c r="B160" s="2"/>
      <c r="C160" s="2"/>
      <c r="D160" s="2"/>
      <c r="E160" s="2"/>
      <c r="F160" s="2"/>
      <c r="G160" s="2"/>
      <c r="H160" s="2"/>
      <c r="I160" s="2"/>
      <c r="J160" s="2"/>
      <c r="K160" s="2"/>
      <c r="L160" s="2"/>
    </row>
    <row r="161" spans="1:12" ht="15.75" customHeight="1" x14ac:dyDescent="0.2">
      <c r="A161" s="2"/>
      <c r="B161" s="2"/>
      <c r="C161" s="2"/>
      <c r="D161" s="2"/>
      <c r="E161" s="2"/>
      <c r="F161" s="2"/>
      <c r="G161" s="2"/>
      <c r="H161" s="2"/>
      <c r="I161" s="2"/>
      <c r="J161" s="2"/>
      <c r="K161" s="2"/>
      <c r="L161" s="2"/>
    </row>
    <row r="162" spans="1:12" ht="15.75" customHeight="1" x14ac:dyDescent="0.2">
      <c r="A162" s="2"/>
      <c r="B162" s="2"/>
      <c r="C162" s="2"/>
      <c r="D162" s="2"/>
      <c r="E162" s="2"/>
      <c r="F162" s="2"/>
      <c r="G162" s="2"/>
      <c r="H162" s="2"/>
      <c r="I162" s="2"/>
      <c r="J162" s="2"/>
      <c r="K162" s="2"/>
      <c r="L162" s="2"/>
    </row>
    <row r="163" spans="1:12" ht="15.75" customHeight="1" x14ac:dyDescent="0.2">
      <c r="A163" s="2"/>
      <c r="B163" s="2"/>
      <c r="C163" s="2"/>
      <c r="D163" s="2"/>
      <c r="E163" s="2"/>
      <c r="F163" s="2"/>
      <c r="G163" s="2"/>
      <c r="H163" s="2"/>
      <c r="I163" s="2"/>
      <c r="J163" s="2"/>
      <c r="K163" s="2"/>
      <c r="L163" s="2"/>
    </row>
    <row r="164" spans="1:12" ht="15.75" customHeight="1" x14ac:dyDescent="0.2">
      <c r="A164" s="2"/>
      <c r="B164" s="2"/>
      <c r="C164" s="2"/>
      <c r="D164" s="2"/>
      <c r="E164" s="2"/>
      <c r="F164" s="2"/>
      <c r="G164" s="2"/>
      <c r="H164" s="2"/>
      <c r="I164" s="2"/>
      <c r="J164" s="2"/>
      <c r="K164" s="2"/>
      <c r="L164" s="2"/>
    </row>
    <row r="165" spans="1:12" ht="15.75" customHeight="1" x14ac:dyDescent="0.2">
      <c r="A165" s="2"/>
      <c r="B165" s="2"/>
      <c r="C165" s="2"/>
      <c r="D165" s="2"/>
      <c r="E165" s="2"/>
      <c r="F165" s="2"/>
      <c r="G165" s="2"/>
      <c r="H165" s="2"/>
      <c r="I165" s="2"/>
      <c r="J165" s="2"/>
      <c r="K165" s="2"/>
      <c r="L165" s="2"/>
    </row>
    <row r="166" spans="1:12" ht="15.75" customHeight="1" x14ac:dyDescent="0.2">
      <c r="A166" s="2"/>
      <c r="B166" s="2"/>
      <c r="C166" s="2"/>
      <c r="D166" s="2"/>
      <c r="E166" s="2"/>
      <c r="F166" s="2"/>
      <c r="G166" s="2"/>
      <c r="H166" s="2"/>
      <c r="I166" s="2"/>
      <c r="J166" s="2"/>
      <c r="K166" s="2"/>
      <c r="L166" s="2"/>
    </row>
    <row r="167" spans="1:12" ht="15.75" customHeight="1" x14ac:dyDescent="0.2">
      <c r="A167" s="2"/>
      <c r="B167" s="2"/>
      <c r="C167" s="2"/>
      <c r="D167" s="2"/>
      <c r="E167" s="2"/>
      <c r="F167" s="2"/>
      <c r="G167" s="2"/>
      <c r="H167" s="2"/>
      <c r="I167" s="2"/>
      <c r="J167" s="2"/>
      <c r="K167" s="2"/>
      <c r="L167" s="2"/>
    </row>
    <row r="168" spans="1:12" ht="15.75" customHeight="1" x14ac:dyDescent="0.2">
      <c r="A168" s="2"/>
      <c r="B168" s="2"/>
      <c r="C168" s="2"/>
      <c r="D168" s="2"/>
      <c r="E168" s="2"/>
      <c r="F168" s="2"/>
      <c r="G168" s="2"/>
      <c r="H168" s="2"/>
      <c r="I168" s="2"/>
      <c r="J168" s="2"/>
      <c r="K168" s="2"/>
      <c r="L168" s="2"/>
    </row>
    <row r="169" spans="1:12" ht="15.75" customHeight="1" x14ac:dyDescent="0.2">
      <c r="A169" s="2"/>
      <c r="B169" s="2"/>
      <c r="C169" s="2"/>
      <c r="D169" s="2"/>
      <c r="E169" s="2"/>
      <c r="F169" s="2"/>
      <c r="G169" s="2"/>
      <c r="H169" s="2"/>
      <c r="I169" s="2"/>
      <c r="J169" s="2"/>
      <c r="K169" s="2"/>
      <c r="L169" s="2"/>
    </row>
    <row r="170" spans="1:12" ht="15.75" customHeight="1" x14ac:dyDescent="0.2">
      <c r="A170" s="2"/>
      <c r="B170" s="2"/>
      <c r="C170" s="2"/>
      <c r="D170" s="2"/>
      <c r="E170" s="2"/>
      <c r="F170" s="2"/>
      <c r="G170" s="2"/>
      <c r="H170" s="2"/>
      <c r="I170" s="2"/>
      <c r="J170" s="2"/>
      <c r="K170" s="2"/>
      <c r="L170" s="2"/>
    </row>
    <row r="171" spans="1:12" ht="15.75" customHeight="1" x14ac:dyDescent="0.2">
      <c r="A171" s="2"/>
      <c r="B171" s="2"/>
      <c r="C171" s="2"/>
      <c r="D171" s="2"/>
      <c r="E171" s="2"/>
      <c r="F171" s="2"/>
      <c r="G171" s="2"/>
      <c r="H171" s="2"/>
      <c r="I171" s="2"/>
      <c r="J171" s="2"/>
      <c r="K171" s="2"/>
      <c r="L171" s="2"/>
    </row>
    <row r="172" spans="1:12" ht="15.75" customHeight="1" x14ac:dyDescent="0.2">
      <c r="A172" s="2"/>
      <c r="B172" s="2"/>
      <c r="C172" s="2"/>
      <c r="D172" s="2"/>
      <c r="E172" s="2"/>
      <c r="F172" s="2"/>
      <c r="G172" s="2"/>
      <c r="H172" s="2"/>
      <c r="I172" s="2"/>
      <c r="J172" s="2"/>
      <c r="K172" s="2"/>
      <c r="L172" s="2"/>
    </row>
    <row r="173" spans="1:12" ht="15.75" customHeight="1" x14ac:dyDescent="0.2">
      <c r="A173" s="2"/>
      <c r="B173" s="2"/>
      <c r="C173" s="2"/>
      <c r="D173" s="2"/>
      <c r="E173" s="2"/>
      <c r="F173" s="2"/>
      <c r="G173" s="2"/>
      <c r="H173" s="2"/>
      <c r="I173" s="2"/>
      <c r="J173" s="2"/>
      <c r="K173" s="2"/>
      <c r="L173" s="2"/>
    </row>
    <row r="174" spans="1:12" ht="15.75" customHeight="1" x14ac:dyDescent="0.2">
      <c r="A174" s="2"/>
      <c r="B174" s="2"/>
      <c r="C174" s="2"/>
      <c r="D174" s="2"/>
      <c r="E174" s="2"/>
      <c r="F174" s="2"/>
      <c r="G174" s="2"/>
      <c r="H174" s="2"/>
      <c r="I174" s="2"/>
      <c r="J174" s="2"/>
      <c r="K174" s="2"/>
      <c r="L174" s="2"/>
    </row>
    <row r="175" spans="1:12" ht="15.75" customHeight="1" x14ac:dyDescent="0.2">
      <c r="A175" s="2"/>
      <c r="B175" s="2"/>
      <c r="C175" s="2"/>
      <c r="D175" s="2"/>
      <c r="E175" s="2"/>
      <c r="F175" s="2"/>
      <c r="G175" s="2"/>
      <c r="H175" s="2"/>
      <c r="I175" s="2"/>
      <c r="J175" s="2"/>
      <c r="K175" s="2"/>
      <c r="L175" s="2"/>
    </row>
    <row r="176" spans="1:12" ht="15.75" customHeight="1" x14ac:dyDescent="0.2">
      <c r="A176" s="2"/>
      <c r="B176" s="2"/>
      <c r="C176" s="2"/>
      <c r="D176" s="2"/>
      <c r="E176" s="2"/>
      <c r="F176" s="2"/>
      <c r="G176" s="2"/>
      <c r="H176" s="2"/>
      <c r="I176" s="2"/>
      <c r="J176" s="2"/>
      <c r="K176" s="2"/>
      <c r="L176" s="2"/>
    </row>
    <row r="177" spans="1:12" ht="15.75" customHeight="1" x14ac:dyDescent="0.2">
      <c r="A177" s="2"/>
      <c r="B177" s="2"/>
      <c r="C177" s="2"/>
      <c r="D177" s="2"/>
      <c r="E177" s="2"/>
      <c r="F177" s="2"/>
      <c r="G177" s="2"/>
      <c r="H177" s="2"/>
      <c r="I177" s="2"/>
      <c r="J177" s="2"/>
      <c r="K177" s="2"/>
      <c r="L177" s="2"/>
    </row>
    <row r="178" spans="1:12" ht="15.75" customHeight="1" x14ac:dyDescent="0.2">
      <c r="A178" s="2"/>
      <c r="B178" s="2"/>
      <c r="C178" s="2"/>
      <c r="D178" s="2"/>
      <c r="E178" s="2"/>
      <c r="F178" s="2"/>
      <c r="G178" s="2"/>
      <c r="H178" s="2"/>
      <c r="I178" s="2"/>
      <c r="J178" s="2"/>
      <c r="K178" s="2"/>
      <c r="L178" s="2"/>
    </row>
    <row r="179" spans="1:12" ht="15.75" customHeight="1" x14ac:dyDescent="0.2">
      <c r="A179" s="2"/>
      <c r="B179" s="2"/>
      <c r="C179" s="2"/>
      <c r="D179" s="2"/>
      <c r="E179" s="2"/>
      <c r="F179" s="2"/>
      <c r="G179" s="2"/>
      <c r="H179" s="2"/>
      <c r="I179" s="2"/>
      <c r="J179" s="2"/>
      <c r="K179" s="2"/>
      <c r="L179" s="2"/>
    </row>
    <row r="180" spans="1:12" ht="15.75" customHeight="1" x14ac:dyDescent="0.2">
      <c r="A180" s="2"/>
      <c r="B180" s="2"/>
      <c r="C180" s="2"/>
      <c r="D180" s="2"/>
      <c r="E180" s="2"/>
      <c r="F180" s="2"/>
      <c r="G180" s="2"/>
      <c r="H180" s="2"/>
      <c r="I180" s="2"/>
      <c r="J180" s="2"/>
      <c r="K180" s="2"/>
      <c r="L180" s="2"/>
    </row>
    <row r="181" spans="1:12" ht="15.75" customHeight="1" x14ac:dyDescent="0.2">
      <c r="A181" s="2"/>
      <c r="B181" s="2"/>
      <c r="C181" s="2"/>
      <c r="D181" s="2"/>
      <c r="E181" s="2"/>
      <c r="F181" s="2"/>
      <c r="G181" s="2"/>
      <c r="H181" s="2"/>
      <c r="I181" s="2"/>
      <c r="J181" s="2"/>
      <c r="K181" s="2"/>
      <c r="L181" s="2"/>
    </row>
    <row r="182" spans="1:12" ht="15.75" customHeight="1" x14ac:dyDescent="0.2">
      <c r="A182" s="2"/>
      <c r="B182" s="2"/>
      <c r="C182" s="2"/>
      <c r="D182" s="2"/>
      <c r="E182" s="2"/>
      <c r="F182" s="2"/>
      <c r="G182" s="2"/>
      <c r="H182" s="2"/>
      <c r="I182" s="2"/>
      <c r="J182" s="2"/>
      <c r="K182" s="2"/>
      <c r="L182" s="2"/>
    </row>
    <row r="183" spans="1:12" ht="15.75" customHeight="1" x14ac:dyDescent="0.2">
      <c r="A183" s="2"/>
      <c r="B183" s="2"/>
      <c r="C183" s="2"/>
      <c r="D183" s="2"/>
      <c r="E183" s="2"/>
      <c r="F183" s="2"/>
      <c r="G183" s="2"/>
      <c r="H183" s="2"/>
      <c r="I183" s="2"/>
      <c r="J183" s="2"/>
      <c r="K183" s="2"/>
      <c r="L183" s="2"/>
    </row>
    <row r="184" spans="1:12" ht="15.75" customHeight="1" x14ac:dyDescent="0.2">
      <c r="A184" s="2"/>
      <c r="B184" s="2"/>
      <c r="C184" s="2"/>
      <c r="D184" s="2"/>
      <c r="E184" s="2"/>
      <c r="F184" s="2"/>
      <c r="G184" s="2"/>
      <c r="H184" s="2"/>
      <c r="I184" s="2"/>
      <c r="J184" s="2"/>
      <c r="K184" s="2"/>
      <c r="L184" s="2"/>
    </row>
    <row r="185" spans="1:12" ht="15.75" customHeight="1" x14ac:dyDescent="0.2">
      <c r="A185" s="2"/>
      <c r="B185" s="2"/>
      <c r="C185" s="2"/>
      <c r="D185" s="2"/>
      <c r="E185" s="2"/>
      <c r="F185" s="2"/>
      <c r="G185" s="2"/>
      <c r="H185" s="2"/>
      <c r="I185" s="2"/>
      <c r="J185" s="2"/>
      <c r="K185" s="2"/>
      <c r="L185" s="2"/>
    </row>
    <row r="186" spans="1:12" ht="15.75" customHeight="1" x14ac:dyDescent="0.2">
      <c r="A186" s="2"/>
      <c r="B186" s="2"/>
      <c r="C186" s="2"/>
      <c r="D186" s="2"/>
      <c r="E186" s="2"/>
      <c r="F186" s="2"/>
      <c r="G186" s="2"/>
      <c r="H186" s="2"/>
      <c r="I186" s="2"/>
      <c r="J186" s="2"/>
      <c r="K186" s="2"/>
      <c r="L186" s="2"/>
    </row>
    <row r="187" spans="1:12" ht="15.75" customHeight="1" x14ac:dyDescent="0.2">
      <c r="A187" s="2"/>
      <c r="B187" s="2"/>
      <c r="C187" s="2"/>
      <c r="D187" s="2"/>
      <c r="E187" s="2"/>
      <c r="F187" s="2"/>
      <c r="G187" s="2"/>
      <c r="H187" s="2"/>
      <c r="I187" s="2"/>
      <c r="J187" s="2"/>
      <c r="K187" s="2"/>
      <c r="L187" s="2"/>
    </row>
    <row r="188" spans="1:12" ht="15.75" customHeight="1" x14ac:dyDescent="0.2">
      <c r="A188" s="2"/>
      <c r="B188" s="2"/>
      <c r="C188" s="2"/>
      <c r="D188" s="2"/>
      <c r="E188" s="2"/>
      <c r="F188" s="2"/>
      <c r="G188" s="2"/>
      <c r="H188" s="2"/>
      <c r="I188" s="2"/>
      <c r="J188" s="2"/>
      <c r="K188" s="2"/>
      <c r="L188" s="2"/>
    </row>
    <row r="189" spans="1:12" ht="15.75" customHeight="1" x14ac:dyDescent="0.2">
      <c r="A189" s="2"/>
      <c r="B189" s="2"/>
      <c r="C189" s="2"/>
      <c r="D189" s="2"/>
      <c r="E189" s="2"/>
      <c r="F189" s="2"/>
      <c r="G189" s="2"/>
      <c r="H189" s="2"/>
      <c r="I189" s="2"/>
      <c r="J189" s="2"/>
      <c r="K189" s="2"/>
      <c r="L189" s="2"/>
    </row>
    <row r="190" spans="1:12" ht="15.75" customHeight="1" x14ac:dyDescent="0.2">
      <c r="A190" s="2"/>
      <c r="B190" s="2"/>
      <c r="C190" s="2"/>
      <c r="D190" s="2"/>
      <c r="E190" s="2"/>
      <c r="F190" s="2"/>
      <c r="G190" s="2"/>
      <c r="H190" s="2"/>
      <c r="I190" s="2"/>
      <c r="J190" s="2"/>
      <c r="K190" s="2"/>
      <c r="L190" s="2"/>
    </row>
    <row r="191" spans="1:12" ht="15.75" customHeight="1" x14ac:dyDescent="0.2">
      <c r="A191" s="2"/>
      <c r="B191" s="2"/>
      <c r="C191" s="2"/>
      <c r="D191" s="2"/>
      <c r="E191" s="2"/>
      <c r="F191" s="2"/>
      <c r="G191" s="2"/>
      <c r="H191" s="2"/>
      <c r="I191" s="2"/>
      <c r="J191" s="2"/>
      <c r="K191" s="2"/>
      <c r="L191" s="2"/>
    </row>
    <row r="192" spans="1:12" ht="15.75" customHeight="1" x14ac:dyDescent="0.2">
      <c r="A192" s="2"/>
      <c r="B192" s="2"/>
      <c r="C192" s="2"/>
      <c r="D192" s="2"/>
      <c r="E192" s="2"/>
      <c r="F192" s="2"/>
      <c r="G192" s="2"/>
      <c r="H192" s="2"/>
      <c r="I192" s="2"/>
      <c r="J192" s="2"/>
      <c r="K192" s="2"/>
      <c r="L192" s="2"/>
    </row>
    <row r="193" spans="1:12" ht="15.75" customHeight="1" x14ac:dyDescent="0.2">
      <c r="A193" s="2"/>
      <c r="B193" s="2"/>
      <c r="C193" s="2"/>
      <c r="D193" s="2"/>
      <c r="E193" s="2"/>
      <c r="F193" s="2"/>
      <c r="G193" s="2"/>
      <c r="H193" s="2"/>
      <c r="I193" s="2"/>
      <c r="J193" s="2"/>
      <c r="K193" s="2"/>
      <c r="L193" s="2"/>
    </row>
    <row r="194" spans="1:12" ht="15.75" customHeight="1" x14ac:dyDescent="0.2">
      <c r="A194" s="2"/>
      <c r="B194" s="2"/>
      <c r="C194" s="2"/>
      <c r="D194" s="2"/>
      <c r="E194" s="2"/>
      <c r="F194" s="2"/>
      <c r="G194" s="2"/>
      <c r="H194" s="2"/>
      <c r="I194" s="2"/>
      <c r="J194" s="2"/>
      <c r="K194" s="2"/>
      <c r="L194" s="2"/>
    </row>
    <row r="195" spans="1:12" ht="15.75" customHeight="1" x14ac:dyDescent="0.2">
      <c r="A195" s="2"/>
      <c r="B195" s="2"/>
      <c r="C195" s="2"/>
      <c r="D195" s="2"/>
      <c r="E195" s="2"/>
      <c r="F195" s="2"/>
      <c r="G195" s="2"/>
      <c r="H195" s="2"/>
      <c r="I195" s="2"/>
      <c r="J195" s="2"/>
      <c r="K195" s="2"/>
      <c r="L195" s="2"/>
    </row>
    <row r="196" spans="1:12" ht="15.75" customHeight="1" x14ac:dyDescent="0.2">
      <c r="A196" s="2"/>
      <c r="B196" s="2"/>
      <c r="C196" s="2"/>
      <c r="D196" s="2"/>
      <c r="E196" s="2"/>
      <c r="F196" s="2"/>
      <c r="G196" s="2"/>
      <c r="H196" s="2"/>
      <c r="I196" s="2"/>
      <c r="J196" s="2"/>
      <c r="K196" s="2"/>
      <c r="L196" s="2"/>
    </row>
    <row r="197" spans="1:12" ht="15.75" customHeight="1" x14ac:dyDescent="0.2">
      <c r="A197" s="2"/>
      <c r="B197" s="2"/>
      <c r="C197" s="2"/>
      <c r="D197" s="2"/>
      <c r="E197" s="2"/>
      <c r="F197" s="2"/>
      <c r="G197" s="2"/>
      <c r="H197" s="2"/>
      <c r="I197" s="2"/>
      <c r="J197" s="2"/>
      <c r="K197" s="2"/>
      <c r="L197" s="2"/>
    </row>
    <row r="198" spans="1:12" ht="15.75" customHeight="1" x14ac:dyDescent="0.2">
      <c r="A198" s="2"/>
      <c r="B198" s="2"/>
      <c r="C198" s="2"/>
      <c r="D198" s="2"/>
      <c r="E198" s="2"/>
      <c r="F198" s="2"/>
      <c r="G198" s="2"/>
      <c r="H198" s="2"/>
      <c r="I198" s="2"/>
      <c r="J198" s="2"/>
      <c r="K198" s="2"/>
      <c r="L198" s="2"/>
    </row>
    <row r="199" spans="1:12" ht="15.75" customHeight="1" x14ac:dyDescent="0.2">
      <c r="A199" s="2"/>
      <c r="B199" s="2"/>
      <c r="C199" s="2"/>
      <c r="D199" s="2"/>
      <c r="E199" s="2"/>
      <c r="F199" s="2"/>
      <c r="G199" s="2"/>
      <c r="H199" s="2"/>
      <c r="I199" s="2"/>
      <c r="J199" s="2"/>
      <c r="K199" s="2"/>
      <c r="L199" s="2"/>
    </row>
    <row r="200" spans="1:12" ht="15.75" customHeight="1" x14ac:dyDescent="0.2">
      <c r="A200" s="2"/>
      <c r="B200" s="2"/>
      <c r="C200" s="2"/>
      <c r="D200" s="2"/>
      <c r="E200" s="2"/>
      <c r="F200" s="2"/>
      <c r="G200" s="2"/>
      <c r="H200" s="2"/>
      <c r="I200" s="2"/>
      <c r="J200" s="2"/>
      <c r="K200" s="2"/>
      <c r="L200" s="2"/>
    </row>
    <row r="201" spans="1:12" ht="15.75" customHeight="1" x14ac:dyDescent="0.2">
      <c r="A201" s="2"/>
      <c r="B201" s="2"/>
      <c r="C201" s="2"/>
      <c r="D201" s="2"/>
      <c r="E201" s="2"/>
      <c r="F201" s="2"/>
      <c r="G201" s="2"/>
      <c r="H201" s="2"/>
      <c r="I201" s="2"/>
      <c r="J201" s="2"/>
      <c r="K201" s="2"/>
      <c r="L201" s="2"/>
    </row>
    <row r="202" spans="1:12" ht="15.75" customHeight="1" x14ac:dyDescent="0.2">
      <c r="A202" s="2"/>
      <c r="B202" s="2"/>
      <c r="C202" s="2"/>
      <c r="D202" s="2"/>
      <c r="E202" s="2"/>
      <c r="F202" s="2"/>
      <c r="G202" s="2"/>
      <c r="H202" s="2"/>
      <c r="I202" s="2"/>
      <c r="J202" s="2"/>
      <c r="K202" s="2"/>
      <c r="L202" s="2"/>
    </row>
    <row r="203" spans="1:12" ht="15.75" customHeight="1" x14ac:dyDescent="0.2">
      <c r="A203" s="2"/>
      <c r="B203" s="2"/>
      <c r="C203" s="2"/>
      <c r="D203" s="2"/>
      <c r="E203" s="2"/>
      <c r="F203" s="2"/>
      <c r="G203" s="2"/>
      <c r="H203" s="2"/>
      <c r="I203" s="2"/>
      <c r="J203" s="2"/>
      <c r="K203" s="2"/>
      <c r="L203" s="2"/>
    </row>
    <row r="204" spans="1:12" ht="15.75" customHeight="1" x14ac:dyDescent="0.2">
      <c r="A204" s="2"/>
      <c r="B204" s="2"/>
      <c r="C204" s="2"/>
      <c r="D204" s="2"/>
      <c r="E204" s="2"/>
      <c r="F204" s="2"/>
      <c r="G204" s="2"/>
      <c r="H204" s="2"/>
      <c r="I204" s="2"/>
      <c r="J204" s="2"/>
      <c r="K204" s="2"/>
      <c r="L204" s="2"/>
    </row>
    <row r="205" spans="1:12" ht="15.75" customHeight="1" x14ac:dyDescent="0.2">
      <c r="A205" s="2"/>
      <c r="B205" s="2"/>
      <c r="C205" s="2"/>
      <c r="D205" s="2"/>
      <c r="E205" s="2"/>
      <c r="F205" s="2"/>
      <c r="G205" s="2"/>
      <c r="H205" s="2"/>
      <c r="I205" s="2"/>
      <c r="J205" s="2"/>
      <c r="K205" s="2"/>
      <c r="L205" s="2"/>
    </row>
    <row r="206" spans="1:12" ht="15.75" customHeight="1" x14ac:dyDescent="0.2">
      <c r="A206" s="2"/>
      <c r="B206" s="2"/>
      <c r="C206" s="2"/>
      <c r="D206" s="2"/>
      <c r="E206" s="2"/>
      <c r="F206" s="2"/>
      <c r="G206" s="2"/>
      <c r="H206" s="2"/>
      <c r="I206" s="2"/>
      <c r="J206" s="2"/>
      <c r="K206" s="2"/>
      <c r="L206" s="2"/>
    </row>
    <row r="207" spans="1:12" ht="15.75" customHeight="1" x14ac:dyDescent="0.2">
      <c r="A207" s="2"/>
      <c r="B207" s="2"/>
      <c r="C207" s="2"/>
      <c r="D207" s="2"/>
      <c r="E207" s="2"/>
      <c r="F207" s="2"/>
      <c r="G207" s="2"/>
      <c r="H207" s="2"/>
      <c r="I207" s="2"/>
      <c r="J207" s="2"/>
      <c r="K207" s="2"/>
      <c r="L207" s="2"/>
    </row>
    <row r="208" spans="1:12" ht="15.75" customHeight="1" x14ac:dyDescent="0.2">
      <c r="A208" s="2"/>
      <c r="B208" s="2"/>
      <c r="C208" s="2"/>
      <c r="D208" s="2"/>
      <c r="E208" s="2"/>
      <c r="F208" s="2"/>
      <c r="G208" s="2"/>
      <c r="H208" s="2"/>
      <c r="I208" s="2"/>
      <c r="J208" s="2"/>
      <c r="K208" s="2"/>
      <c r="L208" s="2"/>
    </row>
    <row r="209" spans="1:12" ht="15.75" customHeight="1" x14ac:dyDescent="0.2">
      <c r="A209" s="2"/>
      <c r="B209" s="2"/>
      <c r="C209" s="2"/>
      <c r="D209" s="2"/>
      <c r="E209" s="2"/>
      <c r="F209" s="2"/>
      <c r="G209" s="2"/>
      <c r="H209" s="2"/>
      <c r="I209" s="2"/>
      <c r="J209" s="2"/>
      <c r="K209" s="2"/>
      <c r="L209" s="2"/>
    </row>
    <row r="210" spans="1:12" ht="15.75" customHeight="1" x14ac:dyDescent="0.2">
      <c r="A210" s="2"/>
      <c r="B210" s="2"/>
      <c r="C210" s="2"/>
      <c r="D210" s="2"/>
      <c r="E210" s="2"/>
      <c r="F210" s="2"/>
      <c r="G210" s="2"/>
      <c r="H210" s="2"/>
      <c r="I210" s="2"/>
      <c r="J210" s="2"/>
      <c r="K210" s="2"/>
      <c r="L210" s="2"/>
    </row>
    <row r="211" spans="1:12" ht="15.75" customHeight="1" x14ac:dyDescent="0.2">
      <c r="A211" s="2"/>
      <c r="B211" s="2"/>
      <c r="C211" s="2"/>
      <c r="D211" s="2"/>
      <c r="E211" s="2"/>
      <c r="F211" s="2"/>
      <c r="G211" s="2"/>
      <c r="H211" s="2"/>
      <c r="I211" s="2"/>
      <c r="J211" s="2"/>
      <c r="K211" s="2"/>
      <c r="L211" s="2"/>
    </row>
    <row r="212" spans="1:12" ht="15.75" customHeight="1" x14ac:dyDescent="0.2">
      <c r="A212" s="2"/>
      <c r="B212" s="2"/>
      <c r="C212" s="2"/>
      <c r="D212" s="2"/>
      <c r="E212" s="2"/>
      <c r="F212" s="2"/>
      <c r="G212" s="2"/>
      <c r="H212" s="2"/>
      <c r="I212" s="2"/>
      <c r="J212" s="2"/>
      <c r="K212" s="2"/>
      <c r="L212" s="2"/>
    </row>
    <row r="213" spans="1:12" ht="15.75" customHeight="1" x14ac:dyDescent="0.2">
      <c r="A213" s="2"/>
      <c r="B213" s="2"/>
      <c r="C213" s="2"/>
      <c r="D213" s="2"/>
      <c r="E213" s="2"/>
      <c r="F213" s="2"/>
      <c r="G213" s="2"/>
      <c r="H213" s="2"/>
      <c r="I213" s="2"/>
      <c r="J213" s="2"/>
      <c r="K213" s="2"/>
      <c r="L213" s="2"/>
    </row>
    <row r="214" spans="1:12" ht="15.75" customHeight="1" x14ac:dyDescent="0.2">
      <c r="A214" s="2"/>
      <c r="B214" s="2"/>
      <c r="C214" s="2"/>
      <c r="D214" s="2"/>
      <c r="E214" s="2"/>
      <c r="F214" s="2"/>
      <c r="G214" s="2"/>
      <c r="H214" s="2"/>
      <c r="I214" s="2"/>
      <c r="J214" s="2"/>
      <c r="K214" s="2"/>
      <c r="L214" s="2"/>
    </row>
    <row r="215" spans="1:12" ht="15.75" customHeight="1" x14ac:dyDescent="0.2">
      <c r="A215" s="2"/>
      <c r="B215" s="2"/>
      <c r="C215" s="2"/>
      <c r="D215" s="2"/>
      <c r="E215" s="2"/>
      <c r="F215" s="2"/>
      <c r="G215" s="2"/>
      <c r="H215" s="2"/>
      <c r="I215" s="2"/>
      <c r="J215" s="2"/>
      <c r="K215" s="2"/>
      <c r="L215" s="2"/>
    </row>
    <row r="216" spans="1:12" ht="15.75" customHeight="1" x14ac:dyDescent="0.2">
      <c r="A216" s="2"/>
      <c r="B216" s="2"/>
      <c r="C216" s="2"/>
      <c r="D216" s="2"/>
      <c r="E216" s="2"/>
      <c r="F216" s="2"/>
      <c r="G216" s="2"/>
      <c r="H216" s="2"/>
      <c r="I216" s="2"/>
      <c r="J216" s="2"/>
      <c r="K216" s="2"/>
      <c r="L216" s="2"/>
    </row>
    <row r="217" spans="1:12" ht="15.75" customHeight="1" x14ac:dyDescent="0.2">
      <c r="A217" s="2"/>
      <c r="B217" s="2"/>
      <c r="C217" s="2"/>
      <c r="D217" s="2"/>
      <c r="E217" s="2"/>
      <c r="F217" s="2"/>
      <c r="G217" s="2"/>
      <c r="H217" s="2"/>
      <c r="I217" s="2"/>
      <c r="J217" s="2"/>
      <c r="K217" s="2"/>
      <c r="L217" s="2"/>
    </row>
    <row r="218" spans="1:12" ht="15.75" customHeight="1" x14ac:dyDescent="0.2">
      <c r="A218" s="2"/>
      <c r="B218" s="2"/>
      <c r="C218" s="2"/>
      <c r="D218" s="2"/>
      <c r="E218" s="2"/>
      <c r="F218" s="2"/>
      <c r="G218" s="2"/>
      <c r="H218" s="2"/>
      <c r="I218" s="2"/>
      <c r="J218" s="2"/>
      <c r="K218" s="2"/>
      <c r="L218" s="2"/>
    </row>
    <row r="219" spans="1:12" ht="15.75" customHeight="1" x14ac:dyDescent="0.2">
      <c r="A219" s="2"/>
      <c r="B219" s="2"/>
      <c r="C219" s="2"/>
      <c r="D219" s="2"/>
      <c r="E219" s="2"/>
      <c r="F219" s="2"/>
      <c r="G219" s="2"/>
      <c r="H219" s="2"/>
      <c r="I219" s="2"/>
      <c r="J219" s="2"/>
      <c r="K219" s="2"/>
      <c r="L219" s="2"/>
    </row>
    <row r="220" spans="1:12" ht="15.75" customHeight="1" x14ac:dyDescent="0.2">
      <c r="A220" s="2"/>
      <c r="B220" s="2"/>
      <c r="C220" s="2"/>
      <c r="D220" s="2"/>
      <c r="E220" s="2"/>
      <c r="F220" s="2"/>
      <c r="G220" s="2"/>
      <c r="H220" s="2"/>
      <c r="I220" s="2"/>
      <c r="J220" s="2"/>
      <c r="K220" s="2"/>
      <c r="L220" s="2"/>
    </row>
    <row r="221" spans="1:12" ht="15.75" customHeight="1" x14ac:dyDescent="0.2">
      <c r="A221" s="2"/>
      <c r="B221" s="2"/>
      <c r="C221" s="2"/>
      <c r="D221" s="2"/>
      <c r="E221" s="2"/>
      <c r="F221" s="2"/>
      <c r="G221" s="2"/>
      <c r="H221" s="2"/>
      <c r="I221" s="2"/>
      <c r="J221" s="2"/>
      <c r="K221" s="2"/>
      <c r="L221" s="2"/>
    </row>
    <row r="222" spans="1:12" ht="15.75" customHeight="1" x14ac:dyDescent="0.2">
      <c r="A222" s="2"/>
      <c r="B222" s="2"/>
      <c r="C222" s="2"/>
      <c r="D222" s="2"/>
      <c r="E222" s="2"/>
      <c r="F222" s="2"/>
      <c r="G222" s="2"/>
      <c r="H222" s="2"/>
      <c r="I222" s="2"/>
      <c r="J222" s="2"/>
      <c r="K222" s="2"/>
      <c r="L222" s="2"/>
    </row>
    <row r="223" spans="1:12" ht="15.75" customHeight="1" x14ac:dyDescent="0.2">
      <c r="A223" s="2"/>
      <c r="B223" s="2"/>
      <c r="C223" s="2"/>
      <c r="D223" s="2"/>
      <c r="E223" s="2"/>
      <c r="F223" s="2"/>
      <c r="G223" s="2"/>
      <c r="H223" s="2"/>
      <c r="I223" s="2"/>
      <c r="J223" s="2"/>
      <c r="K223" s="2"/>
      <c r="L223" s="2"/>
    </row>
    <row r="224" spans="1:12" ht="15.75" customHeight="1" x14ac:dyDescent="0.2">
      <c r="A224" s="2"/>
      <c r="B224" s="2"/>
      <c r="C224" s="2"/>
      <c r="D224" s="2"/>
      <c r="E224" s="2"/>
      <c r="F224" s="2"/>
      <c r="G224" s="2"/>
      <c r="H224" s="2"/>
      <c r="I224" s="2"/>
      <c r="J224" s="2"/>
      <c r="K224" s="2"/>
      <c r="L224" s="2"/>
    </row>
    <row r="225" spans="1:12" ht="15.75" customHeight="1" x14ac:dyDescent="0.2">
      <c r="A225" s="2"/>
      <c r="B225" s="2"/>
      <c r="C225" s="2"/>
      <c r="D225" s="2"/>
      <c r="E225" s="2"/>
      <c r="F225" s="2"/>
      <c r="G225" s="2"/>
      <c r="H225" s="2"/>
      <c r="I225" s="2"/>
      <c r="J225" s="2"/>
      <c r="K225" s="2"/>
      <c r="L225" s="2"/>
    </row>
    <row r="226" spans="1:12" ht="15.75" customHeight="1" x14ac:dyDescent="0.2">
      <c r="A226" s="2"/>
      <c r="B226" s="2"/>
      <c r="C226" s="2"/>
      <c r="D226" s="2"/>
      <c r="E226" s="2"/>
      <c r="F226" s="2"/>
      <c r="G226" s="2"/>
      <c r="H226" s="2"/>
      <c r="I226" s="2"/>
      <c r="J226" s="2"/>
      <c r="K226" s="2"/>
      <c r="L226" s="2"/>
    </row>
    <row r="227" spans="1:12" ht="15.75" customHeight="1" x14ac:dyDescent="0.2">
      <c r="A227" s="2"/>
      <c r="B227" s="2"/>
      <c r="C227" s="2"/>
      <c r="D227" s="2"/>
      <c r="E227" s="2"/>
      <c r="F227" s="2"/>
      <c r="G227" s="2"/>
      <c r="H227" s="2"/>
      <c r="I227" s="2"/>
      <c r="J227" s="2"/>
      <c r="K227" s="2"/>
      <c r="L227" s="2"/>
    </row>
    <row r="228" spans="1:12" ht="15.75" customHeight="1" x14ac:dyDescent="0.2">
      <c r="A228" s="2"/>
      <c r="B228" s="2"/>
      <c r="C228" s="2"/>
      <c r="D228" s="2"/>
      <c r="E228" s="2"/>
      <c r="F228" s="2"/>
      <c r="G228" s="2"/>
      <c r="H228" s="2"/>
      <c r="I228" s="2"/>
      <c r="J228" s="2"/>
      <c r="K228" s="2"/>
      <c r="L228" s="2"/>
    </row>
    <row r="229" spans="1:12" ht="15.75" customHeight="1" x14ac:dyDescent="0.2">
      <c r="A229" s="2"/>
      <c r="B229" s="2"/>
      <c r="C229" s="2"/>
      <c r="D229" s="2"/>
      <c r="E229" s="2"/>
      <c r="F229" s="2"/>
      <c r="G229" s="2"/>
      <c r="H229" s="2"/>
      <c r="I229" s="2"/>
      <c r="J229" s="2"/>
      <c r="K229" s="2"/>
      <c r="L229" s="2"/>
    </row>
    <row r="230" spans="1:12" ht="15.75" customHeight="1" x14ac:dyDescent="0.2">
      <c r="A230" s="2"/>
      <c r="B230" s="2"/>
      <c r="C230" s="2"/>
      <c r="D230" s="2"/>
      <c r="E230" s="2"/>
      <c r="F230" s="2"/>
      <c r="G230" s="2"/>
      <c r="H230" s="2"/>
      <c r="I230" s="2"/>
      <c r="J230" s="2"/>
      <c r="K230" s="2"/>
      <c r="L230" s="2"/>
    </row>
    <row r="231" spans="1:12" ht="15.75" customHeight="1" x14ac:dyDescent="0.2">
      <c r="A231" s="2"/>
      <c r="B231" s="2"/>
      <c r="C231" s="2"/>
      <c r="D231" s="2"/>
      <c r="E231" s="2"/>
      <c r="F231" s="2"/>
      <c r="G231" s="2"/>
      <c r="H231" s="2"/>
      <c r="I231" s="2"/>
      <c r="J231" s="2"/>
      <c r="K231" s="2"/>
      <c r="L231" s="2"/>
    </row>
    <row r="232" spans="1:12" ht="15.75" customHeight="1" x14ac:dyDescent="0.2">
      <c r="A232" s="2"/>
      <c r="B232" s="2"/>
      <c r="C232" s="2"/>
      <c r="D232" s="2"/>
      <c r="E232" s="2"/>
      <c r="F232" s="2"/>
      <c r="G232" s="2"/>
      <c r="H232" s="2"/>
      <c r="I232" s="2"/>
      <c r="J232" s="2"/>
      <c r="K232" s="2"/>
      <c r="L232" s="2"/>
    </row>
    <row r="233" spans="1:12" ht="15.75" customHeight="1" x14ac:dyDescent="0.2">
      <c r="A233" s="2"/>
      <c r="B233" s="2"/>
      <c r="C233" s="2"/>
      <c r="D233" s="2"/>
      <c r="E233" s="2"/>
      <c r="F233" s="2"/>
      <c r="G233" s="2"/>
      <c r="H233" s="2"/>
      <c r="I233" s="2"/>
      <c r="J233" s="2"/>
      <c r="K233" s="2"/>
      <c r="L233" s="2"/>
    </row>
    <row r="234" spans="1:12" ht="15.75" customHeight="1" x14ac:dyDescent="0.2">
      <c r="A234" s="2"/>
      <c r="B234" s="2"/>
      <c r="C234" s="2"/>
      <c r="D234" s="2"/>
      <c r="E234" s="2"/>
      <c r="F234" s="2"/>
      <c r="G234" s="2"/>
      <c r="H234" s="2"/>
      <c r="I234" s="2"/>
      <c r="J234" s="2"/>
      <c r="K234" s="2"/>
      <c r="L234" s="2"/>
    </row>
    <row r="235" spans="1:12" ht="15.75" customHeight="1" x14ac:dyDescent="0.2">
      <c r="A235" s="2"/>
      <c r="B235" s="2"/>
      <c r="C235" s="2"/>
      <c r="D235" s="2"/>
      <c r="E235" s="2"/>
      <c r="F235" s="2"/>
      <c r="G235" s="2"/>
      <c r="H235" s="2"/>
      <c r="I235" s="2"/>
      <c r="J235" s="2"/>
      <c r="K235" s="2"/>
      <c r="L235" s="2"/>
    </row>
    <row r="236" spans="1:12" ht="15.75" customHeight="1" x14ac:dyDescent="0.2">
      <c r="A236" s="2"/>
      <c r="B236" s="2"/>
      <c r="C236" s="2"/>
      <c r="D236" s="2"/>
      <c r="E236" s="2"/>
      <c r="F236" s="2"/>
      <c r="G236" s="2"/>
      <c r="H236" s="2"/>
      <c r="I236" s="2"/>
      <c r="J236" s="2"/>
      <c r="K236" s="2"/>
      <c r="L236" s="2"/>
    </row>
    <row r="237" spans="1:12" ht="15.75" customHeight="1" x14ac:dyDescent="0.2">
      <c r="A237" s="2"/>
      <c r="B237" s="2"/>
      <c r="C237" s="2"/>
      <c r="D237" s="2"/>
      <c r="E237" s="2"/>
      <c r="F237" s="2"/>
      <c r="G237" s="2"/>
      <c r="H237" s="2"/>
      <c r="I237" s="2"/>
      <c r="J237" s="2"/>
      <c r="K237" s="2"/>
      <c r="L237" s="2"/>
    </row>
    <row r="238" spans="1:12" ht="15.75" customHeight="1" x14ac:dyDescent="0.2">
      <c r="A238" s="2"/>
      <c r="B238" s="2"/>
      <c r="C238" s="2"/>
      <c r="D238" s="2"/>
      <c r="E238" s="2"/>
      <c r="F238" s="2"/>
      <c r="G238" s="2"/>
      <c r="H238" s="2"/>
      <c r="I238" s="2"/>
      <c r="J238" s="2"/>
      <c r="K238" s="2"/>
      <c r="L238" s="2"/>
    </row>
    <row r="239" spans="1:12" ht="15.75" customHeight="1" x14ac:dyDescent="0.2">
      <c r="A239" s="2"/>
      <c r="B239" s="2"/>
      <c r="C239" s="2"/>
      <c r="D239" s="2"/>
      <c r="E239" s="2"/>
      <c r="F239" s="2"/>
      <c r="G239" s="2"/>
      <c r="H239" s="2"/>
      <c r="I239" s="2"/>
      <c r="J239" s="2"/>
      <c r="K239" s="2"/>
      <c r="L239" s="2"/>
    </row>
    <row r="240" spans="1:12" ht="15.75" customHeight="1" x14ac:dyDescent="0.2">
      <c r="A240" s="2"/>
      <c r="B240" s="2"/>
      <c r="C240" s="2"/>
      <c r="D240" s="2"/>
      <c r="E240" s="2"/>
      <c r="F240" s="2"/>
      <c r="G240" s="2"/>
      <c r="H240" s="2"/>
      <c r="I240" s="2"/>
      <c r="J240" s="2"/>
      <c r="K240" s="2"/>
      <c r="L240" s="2"/>
    </row>
    <row r="241" spans="1:12" ht="15.75" customHeight="1" x14ac:dyDescent="0.2">
      <c r="A241" s="2"/>
      <c r="B241" s="2"/>
      <c r="C241" s="2"/>
      <c r="D241" s="2"/>
      <c r="E241" s="2"/>
      <c r="F241" s="2"/>
      <c r="G241" s="2"/>
      <c r="H241" s="2"/>
      <c r="I241" s="2"/>
      <c r="J241" s="2"/>
      <c r="K241" s="2"/>
      <c r="L241" s="2"/>
    </row>
    <row r="242" spans="1:12" ht="15.75" customHeight="1" x14ac:dyDescent="0.2">
      <c r="A242" s="2"/>
      <c r="B242" s="2"/>
      <c r="C242" s="2"/>
      <c r="D242" s="2"/>
      <c r="E242" s="2"/>
      <c r="F242" s="2"/>
      <c r="G242" s="2"/>
      <c r="H242" s="2"/>
      <c r="I242" s="2"/>
      <c r="J242" s="2"/>
      <c r="K242" s="2"/>
      <c r="L242" s="2"/>
    </row>
    <row r="243" spans="1:12" ht="15.75" customHeight="1" x14ac:dyDescent="0.2">
      <c r="A243" s="2"/>
      <c r="B243" s="2"/>
      <c r="C243" s="2"/>
      <c r="D243" s="2"/>
      <c r="E243" s="2"/>
      <c r="F243" s="2"/>
      <c r="G243" s="2"/>
      <c r="H243" s="2"/>
      <c r="I243" s="2"/>
      <c r="J243" s="2"/>
      <c r="K243" s="2"/>
      <c r="L243" s="2"/>
    </row>
    <row r="244" spans="1:12" ht="15.75" customHeight="1" x14ac:dyDescent="0.2">
      <c r="A244" s="2"/>
      <c r="B244" s="2"/>
      <c r="C244" s="2"/>
      <c r="D244" s="2"/>
      <c r="E244" s="2"/>
      <c r="F244" s="2"/>
      <c r="G244" s="2"/>
      <c r="H244" s="2"/>
      <c r="I244" s="2"/>
      <c r="J244" s="2"/>
      <c r="K244" s="2"/>
      <c r="L244" s="2"/>
    </row>
    <row r="245" spans="1:12" ht="15.75" customHeight="1" x14ac:dyDescent="0.2">
      <c r="A245" s="2"/>
      <c r="B245" s="2"/>
      <c r="C245" s="2"/>
      <c r="D245" s="2"/>
      <c r="E245" s="2"/>
      <c r="F245" s="2"/>
      <c r="G245" s="2"/>
      <c r="H245" s="2"/>
      <c r="I245" s="2"/>
      <c r="J245" s="2"/>
      <c r="K245" s="2"/>
      <c r="L245" s="2"/>
    </row>
    <row r="246" spans="1:12" ht="15.75" customHeight="1" x14ac:dyDescent="0.2">
      <c r="A246" s="2"/>
      <c r="B246" s="2"/>
      <c r="C246" s="2"/>
      <c r="D246" s="2"/>
      <c r="E246" s="2"/>
      <c r="F246" s="2"/>
      <c r="G246" s="2"/>
      <c r="H246" s="2"/>
      <c r="I246" s="2"/>
      <c r="J246" s="2"/>
      <c r="K246" s="2"/>
      <c r="L246" s="2"/>
    </row>
    <row r="247" spans="1:12" ht="15.75" customHeight="1" x14ac:dyDescent="0.2">
      <c r="A247" s="2"/>
      <c r="B247" s="2"/>
      <c r="C247" s="2"/>
      <c r="D247" s="2"/>
      <c r="E247" s="2"/>
      <c r="F247" s="2"/>
      <c r="G247" s="2"/>
      <c r="H247" s="2"/>
      <c r="I247" s="2"/>
      <c r="J247" s="2"/>
      <c r="K247" s="2"/>
      <c r="L247" s="2"/>
    </row>
    <row r="248" spans="1:12" ht="15.75" customHeight="1" x14ac:dyDescent="0.2">
      <c r="A248" s="2"/>
      <c r="B248" s="2"/>
      <c r="C248" s="2"/>
      <c r="D248" s="2"/>
      <c r="E248" s="2"/>
      <c r="F248" s="2"/>
      <c r="G248" s="2"/>
      <c r="H248" s="2"/>
      <c r="I248" s="2"/>
      <c r="J248" s="2"/>
      <c r="K248" s="2"/>
      <c r="L248" s="2"/>
    </row>
    <row r="249" spans="1:12" ht="15.75" customHeight="1" x14ac:dyDescent="0.2">
      <c r="A249" s="2"/>
      <c r="B249" s="2"/>
      <c r="C249" s="2"/>
      <c r="D249" s="2"/>
      <c r="E249" s="2"/>
      <c r="F249" s="2"/>
      <c r="G249" s="2"/>
      <c r="H249" s="2"/>
      <c r="I249" s="2"/>
      <c r="J249" s="2"/>
      <c r="K249" s="2"/>
      <c r="L249" s="2"/>
    </row>
    <row r="250" spans="1:12" ht="15.75" customHeight="1" x14ac:dyDescent="0.2">
      <c r="A250" s="2"/>
      <c r="B250" s="2"/>
      <c r="C250" s="2"/>
      <c r="D250" s="2"/>
      <c r="E250" s="2"/>
      <c r="F250" s="2"/>
      <c r="G250" s="2"/>
      <c r="H250" s="2"/>
      <c r="I250" s="2"/>
      <c r="J250" s="2"/>
      <c r="K250" s="2"/>
      <c r="L250" s="2"/>
    </row>
    <row r="251" spans="1:12" ht="15.75" customHeight="1" x14ac:dyDescent="0.2">
      <c r="A251" s="2"/>
      <c r="B251" s="2"/>
      <c r="C251" s="2"/>
      <c r="D251" s="2"/>
      <c r="E251" s="2"/>
      <c r="F251" s="2"/>
      <c r="G251" s="2"/>
      <c r="H251" s="2"/>
      <c r="I251" s="2"/>
      <c r="J251" s="2"/>
      <c r="K251" s="2"/>
      <c r="L251" s="2"/>
    </row>
    <row r="252" spans="1:12" ht="15.75" customHeight="1" x14ac:dyDescent="0.2">
      <c r="A252" s="2"/>
      <c r="B252" s="2"/>
      <c r="C252" s="2"/>
      <c r="D252" s="2"/>
      <c r="E252" s="2"/>
      <c r="F252" s="2"/>
      <c r="G252" s="2"/>
      <c r="H252" s="2"/>
      <c r="I252" s="2"/>
      <c r="J252" s="2"/>
      <c r="K252" s="2"/>
      <c r="L252" s="2"/>
    </row>
    <row r="253" spans="1:12" ht="15.75" customHeight="1" x14ac:dyDescent="0.2">
      <c r="A253" s="2"/>
      <c r="B253" s="2"/>
      <c r="C253" s="2"/>
      <c r="D253" s="2"/>
      <c r="E253" s="2"/>
      <c r="F253" s="2"/>
      <c r="G253" s="2"/>
      <c r="H253" s="2"/>
      <c r="I253" s="2"/>
      <c r="J253" s="2"/>
      <c r="K253" s="2"/>
      <c r="L253" s="2"/>
    </row>
    <row r="254" spans="1:12" ht="15.75" customHeight="1" x14ac:dyDescent="0.2">
      <c r="A254" s="2"/>
      <c r="B254" s="2"/>
      <c r="C254" s="2"/>
      <c r="D254" s="2"/>
      <c r="E254" s="2"/>
      <c r="F254" s="2"/>
      <c r="G254" s="2"/>
      <c r="H254" s="2"/>
      <c r="I254" s="2"/>
      <c r="J254" s="2"/>
      <c r="K254" s="2"/>
      <c r="L254" s="2"/>
    </row>
    <row r="255" spans="1:12" ht="15.75" customHeight="1" x14ac:dyDescent="0.2">
      <c r="A255" s="2"/>
      <c r="B255" s="2"/>
      <c r="C255" s="2"/>
      <c r="D255" s="2"/>
      <c r="E255" s="2"/>
      <c r="F255" s="2"/>
      <c r="G255" s="2"/>
      <c r="H255" s="2"/>
      <c r="I255" s="2"/>
      <c r="J255" s="2"/>
      <c r="K255" s="2"/>
      <c r="L255" s="2"/>
    </row>
    <row r="256" spans="1:12" ht="15.75" customHeight="1" x14ac:dyDescent="0.2">
      <c r="A256" s="2"/>
      <c r="B256" s="2"/>
      <c r="C256" s="2"/>
      <c r="D256" s="2"/>
      <c r="E256" s="2"/>
      <c r="F256" s="2"/>
      <c r="G256" s="2"/>
      <c r="H256" s="2"/>
      <c r="I256" s="2"/>
      <c r="J256" s="2"/>
      <c r="K256" s="2"/>
      <c r="L256" s="2"/>
    </row>
    <row r="257" spans="1:12" ht="15.75" customHeight="1" x14ac:dyDescent="0.2">
      <c r="A257" s="2"/>
      <c r="B257" s="2"/>
      <c r="C257" s="2"/>
      <c r="D257" s="2"/>
      <c r="E257" s="2"/>
      <c r="F257" s="2"/>
      <c r="G257" s="2"/>
      <c r="H257" s="2"/>
      <c r="I257" s="2"/>
      <c r="J257" s="2"/>
      <c r="K257" s="2"/>
      <c r="L257" s="2"/>
    </row>
    <row r="258" spans="1:12" ht="15.75" customHeight="1" x14ac:dyDescent="0.2">
      <c r="A258" s="2"/>
      <c r="B258" s="2"/>
      <c r="C258" s="2"/>
      <c r="D258" s="2"/>
      <c r="E258" s="2"/>
      <c r="F258" s="2"/>
      <c r="G258" s="2"/>
      <c r="H258" s="2"/>
      <c r="I258" s="2"/>
      <c r="J258" s="2"/>
      <c r="K258" s="2"/>
      <c r="L258" s="2"/>
    </row>
    <row r="259" spans="1:12" ht="15.75" customHeight="1" x14ac:dyDescent="0.2">
      <c r="A259" s="2"/>
      <c r="B259" s="2"/>
      <c r="C259" s="2"/>
      <c r="D259" s="2"/>
      <c r="E259" s="2"/>
      <c r="F259" s="2"/>
      <c r="G259" s="2"/>
      <c r="H259" s="2"/>
      <c r="I259" s="2"/>
      <c r="J259" s="2"/>
      <c r="K259" s="2"/>
      <c r="L259" s="2"/>
    </row>
    <row r="260" spans="1:12" ht="15.75" customHeight="1" x14ac:dyDescent="0.2">
      <c r="A260" s="2"/>
      <c r="B260" s="2"/>
      <c r="C260" s="2"/>
      <c r="D260" s="2"/>
      <c r="E260" s="2"/>
      <c r="F260" s="2"/>
      <c r="G260" s="2"/>
      <c r="H260" s="2"/>
      <c r="I260" s="2"/>
      <c r="J260" s="2"/>
      <c r="K260" s="2"/>
      <c r="L260" s="2"/>
    </row>
    <row r="261" spans="1:12" ht="15.75" customHeight="1" x14ac:dyDescent="0.2">
      <c r="A261" s="2"/>
      <c r="B261" s="2"/>
      <c r="C261" s="2"/>
      <c r="D261" s="2"/>
      <c r="E261" s="2"/>
      <c r="F261" s="2"/>
      <c r="G261" s="2"/>
      <c r="H261" s="2"/>
      <c r="I261" s="2"/>
      <c r="J261" s="2"/>
      <c r="K261" s="2"/>
      <c r="L261" s="2"/>
    </row>
    <row r="262" spans="1:12" ht="15.75" customHeight="1" x14ac:dyDescent="0.2">
      <c r="A262" s="2"/>
      <c r="B262" s="2"/>
      <c r="C262" s="2"/>
      <c r="D262" s="2"/>
      <c r="E262" s="2"/>
      <c r="F262" s="2"/>
      <c r="G262" s="2"/>
      <c r="H262" s="2"/>
      <c r="I262" s="2"/>
      <c r="J262" s="2"/>
      <c r="K262" s="2"/>
      <c r="L262" s="2"/>
    </row>
    <row r="263" spans="1:12" ht="15.75" customHeight="1" x14ac:dyDescent="0.2">
      <c r="A263" s="2"/>
      <c r="B263" s="2"/>
      <c r="C263" s="2"/>
      <c r="D263" s="2"/>
      <c r="E263" s="2"/>
      <c r="F263" s="2"/>
      <c r="G263" s="2"/>
      <c r="H263" s="2"/>
      <c r="I263" s="2"/>
      <c r="J263" s="2"/>
      <c r="K263" s="2"/>
      <c r="L263" s="2"/>
    </row>
    <row r="264" spans="1:12" ht="15.75" customHeight="1" x14ac:dyDescent="0.2">
      <c r="A264" s="2"/>
      <c r="B264" s="2"/>
      <c r="C264" s="2"/>
      <c r="D264" s="2"/>
      <c r="E264" s="2"/>
      <c r="F264" s="2"/>
      <c r="G264" s="2"/>
      <c r="H264" s="2"/>
      <c r="I264" s="2"/>
      <c r="J264" s="2"/>
      <c r="K264" s="2"/>
      <c r="L264" s="2"/>
    </row>
    <row r="265" spans="1:12" ht="15.75" customHeight="1" x14ac:dyDescent="0.2">
      <c r="A265" s="2"/>
      <c r="B265" s="2"/>
      <c r="C265" s="2"/>
      <c r="D265" s="2"/>
      <c r="E265" s="2"/>
      <c r="F265" s="2"/>
      <c r="G265" s="2"/>
      <c r="H265" s="2"/>
      <c r="I265" s="2"/>
      <c r="J265" s="2"/>
      <c r="K265" s="2"/>
      <c r="L265" s="2"/>
    </row>
    <row r="266" spans="1:12" ht="15.75" customHeight="1" x14ac:dyDescent="0.2">
      <c r="A266" s="2"/>
      <c r="B266" s="2"/>
      <c r="C266" s="2"/>
      <c r="D266" s="2"/>
      <c r="E266" s="2"/>
      <c r="F266" s="2"/>
      <c r="G266" s="2"/>
      <c r="H266" s="2"/>
      <c r="I266" s="2"/>
      <c r="J266" s="2"/>
      <c r="K266" s="2"/>
      <c r="L266" s="2"/>
    </row>
    <row r="267" spans="1:12" ht="15.75" customHeight="1" x14ac:dyDescent="0.2">
      <c r="A267" s="2"/>
      <c r="B267" s="2"/>
      <c r="C267" s="2"/>
      <c r="D267" s="2"/>
      <c r="E267" s="2"/>
      <c r="F267" s="2"/>
      <c r="G267" s="2"/>
      <c r="H267" s="2"/>
      <c r="I267" s="2"/>
      <c r="J267" s="2"/>
      <c r="K267" s="2"/>
      <c r="L267" s="2"/>
    </row>
    <row r="268" spans="1:12" ht="15.75" customHeight="1" x14ac:dyDescent="0.2">
      <c r="A268" s="2"/>
      <c r="B268" s="2"/>
      <c r="C268" s="2"/>
      <c r="D268" s="2"/>
      <c r="E268" s="2"/>
      <c r="F268" s="2"/>
      <c r="G268" s="2"/>
      <c r="H268" s="2"/>
      <c r="I268" s="2"/>
      <c r="J268" s="2"/>
      <c r="K268" s="2"/>
      <c r="L268" s="2"/>
    </row>
    <row r="269" spans="1:12" ht="15.75" customHeight="1" x14ac:dyDescent="0.2">
      <c r="A269" s="2"/>
      <c r="B269" s="2"/>
      <c r="C269" s="2"/>
      <c r="D269" s="2"/>
      <c r="E269" s="2"/>
      <c r="F269" s="2"/>
      <c r="G269" s="2"/>
      <c r="H269" s="2"/>
      <c r="I269" s="2"/>
      <c r="J269" s="2"/>
      <c r="K269" s="2"/>
      <c r="L269" s="2"/>
    </row>
    <row r="270" spans="1:12" ht="15.75" customHeight="1" x14ac:dyDescent="0.2">
      <c r="A270" s="2"/>
      <c r="B270" s="2"/>
      <c r="C270" s="2"/>
      <c r="D270" s="2"/>
      <c r="E270" s="2"/>
      <c r="F270" s="2"/>
      <c r="G270" s="2"/>
      <c r="H270" s="2"/>
      <c r="I270" s="2"/>
      <c r="J270" s="2"/>
      <c r="K270" s="2"/>
      <c r="L270" s="2"/>
    </row>
    <row r="271" spans="1:12" ht="15.75" customHeight="1" x14ac:dyDescent="0.2">
      <c r="A271" s="2"/>
      <c r="B271" s="2"/>
      <c r="C271" s="2"/>
      <c r="D271" s="2"/>
      <c r="E271" s="2"/>
      <c r="F271" s="2"/>
      <c r="G271" s="2"/>
      <c r="H271" s="2"/>
      <c r="I271" s="2"/>
      <c r="J271" s="2"/>
      <c r="K271" s="2"/>
      <c r="L271" s="2"/>
    </row>
    <row r="272" spans="1:12" ht="15.75" customHeight="1" x14ac:dyDescent="0.2">
      <c r="A272" s="2"/>
      <c r="B272" s="2"/>
      <c r="C272" s="2"/>
      <c r="D272" s="2"/>
      <c r="E272" s="2"/>
      <c r="F272" s="2"/>
      <c r="G272" s="2"/>
      <c r="H272" s="2"/>
      <c r="I272" s="2"/>
      <c r="J272" s="2"/>
      <c r="K272" s="2"/>
      <c r="L272" s="2"/>
    </row>
    <row r="273" spans="1:12" ht="15.75" customHeight="1" x14ac:dyDescent="0.2">
      <c r="A273" s="2"/>
      <c r="B273" s="2"/>
      <c r="C273" s="2"/>
      <c r="D273" s="2"/>
      <c r="E273" s="2"/>
      <c r="F273" s="2"/>
      <c r="G273" s="2"/>
      <c r="H273" s="2"/>
      <c r="I273" s="2"/>
      <c r="J273" s="2"/>
      <c r="K273" s="2"/>
      <c r="L273" s="2"/>
    </row>
    <row r="274" spans="1:12" ht="15.75" customHeight="1" x14ac:dyDescent="0.2">
      <c r="A274" s="2"/>
      <c r="B274" s="2"/>
      <c r="C274" s="2"/>
      <c r="D274" s="2"/>
      <c r="E274" s="2"/>
      <c r="F274" s="2"/>
      <c r="G274" s="2"/>
      <c r="H274" s="2"/>
      <c r="I274" s="2"/>
      <c r="J274" s="2"/>
      <c r="K274" s="2"/>
      <c r="L274" s="2"/>
    </row>
    <row r="275" spans="1:12" ht="15.75" customHeight="1" x14ac:dyDescent="0.2">
      <c r="A275" s="2"/>
      <c r="B275" s="2"/>
      <c r="C275" s="2"/>
      <c r="D275" s="2"/>
      <c r="E275" s="2"/>
      <c r="F275" s="2"/>
      <c r="G275" s="2"/>
      <c r="H275" s="2"/>
      <c r="I275" s="2"/>
      <c r="J275" s="2"/>
      <c r="K275" s="2"/>
      <c r="L275" s="2"/>
    </row>
    <row r="276" spans="1:12" ht="15.75" customHeight="1" x14ac:dyDescent="0.2">
      <c r="A276" s="2"/>
      <c r="B276" s="2"/>
      <c r="C276" s="2"/>
      <c r="D276" s="2"/>
      <c r="E276" s="2"/>
      <c r="F276" s="2"/>
      <c r="G276" s="2"/>
      <c r="H276" s="2"/>
      <c r="I276" s="2"/>
      <c r="J276" s="2"/>
      <c r="K276" s="2"/>
      <c r="L276" s="2"/>
    </row>
    <row r="277" spans="1:12" ht="15.75" customHeight="1" x14ac:dyDescent="0.2">
      <c r="A277" s="2"/>
      <c r="B277" s="2"/>
      <c r="C277" s="2"/>
      <c r="D277" s="2"/>
      <c r="E277" s="2"/>
      <c r="F277" s="2"/>
      <c r="G277" s="2"/>
      <c r="H277" s="2"/>
      <c r="I277" s="2"/>
      <c r="J277" s="2"/>
      <c r="K277" s="2"/>
      <c r="L277" s="2"/>
    </row>
    <row r="278" spans="1:12" ht="15.75" customHeight="1" x14ac:dyDescent="0.2">
      <c r="A278" s="2"/>
      <c r="B278" s="2"/>
      <c r="C278" s="2"/>
      <c r="D278" s="2"/>
      <c r="E278" s="2"/>
      <c r="F278" s="2"/>
      <c r="G278" s="2"/>
      <c r="H278" s="2"/>
      <c r="I278" s="2"/>
      <c r="J278" s="2"/>
      <c r="K278" s="2"/>
      <c r="L278" s="2"/>
    </row>
    <row r="279" spans="1:12" ht="15.75" customHeight="1" x14ac:dyDescent="0.2">
      <c r="A279" s="2"/>
      <c r="B279" s="2"/>
      <c r="C279" s="2"/>
      <c r="D279" s="2"/>
      <c r="E279" s="2"/>
      <c r="F279" s="2"/>
      <c r="G279" s="2"/>
      <c r="H279" s="2"/>
      <c r="I279" s="2"/>
      <c r="J279" s="2"/>
      <c r="K279" s="2"/>
      <c r="L279" s="2"/>
    </row>
    <row r="280" spans="1:12" ht="15.75" customHeight="1" x14ac:dyDescent="0.2">
      <c r="A280" s="2"/>
      <c r="B280" s="2"/>
      <c r="C280" s="2"/>
      <c r="D280" s="2"/>
      <c r="E280" s="2"/>
      <c r="F280" s="2"/>
      <c r="G280" s="2"/>
      <c r="H280" s="2"/>
      <c r="I280" s="2"/>
      <c r="J280" s="2"/>
      <c r="K280" s="2"/>
      <c r="L280" s="2"/>
    </row>
    <row r="281" spans="1:12" ht="15.75" customHeight="1" x14ac:dyDescent="0.2">
      <c r="A281" s="2"/>
      <c r="B281" s="2"/>
      <c r="C281" s="2"/>
      <c r="D281" s="2"/>
      <c r="E281" s="2"/>
      <c r="F281" s="2"/>
      <c r="G281" s="2"/>
      <c r="H281" s="2"/>
      <c r="I281" s="2"/>
      <c r="J281" s="2"/>
      <c r="K281" s="2"/>
      <c r="L281" s="2"/>
    </row>
    <row r="282" spans="1:12" ht="15.75" customHeight="1" x14ac:dyDescent="0.2">
      <c r="A282" s="2"/>
      <c r="B282" s="2"/>
      <c r="C282" s="2"/>
      <c r="D282" s="2"/>
      <c r="E282" s="2"/>
      <c r="F282" s="2"/>
      <c r="G282" s="2"/>
      <c r="H282" s="2"/>
      <c r="I282" s="2"/>
      <c r="J282" s="2"/>
      <c r="K282" s="2"/>
      <c r="L282" s="2"/>
    </row>
    <row r="283" spans="1:12" ht="15.75" customHeight="1" x14ac:dyDescent="0.2">
      <c r="A283" s="2"/>
      <c r="B283" s="2"/>
      <c r="C283" s="2"/>
      <c r="D283" s="2"/>
      <c r="E283" s="2"/>
      <c r="F283" s="2"/>
      <c r="G283" s="2"/>
      <c r="H283" s="2"/>
      <c r="I283" s="2"/>
      <c r="J283" s="2"/>
      <c r="K283" s="2"/>
      <c r="L283" s="2"/>
    </row>
    <row r="284" spans="1:12" ht="15.75" customHeight="1" x14ac:dyDescent="0.2">
      <c r="A284" s="2"/>
      <c r="B284" s="2"/>
      <c r="C284" s="2"/>
      <c r="D284" s="2"/>
      <c r="E284" s="2"/>
      <c r="F284" s="2"/>
      <c r="G284" s="2"/>
      <c r="H284" s="2"/>
      <c r="I284" s="2"/>
      <c r="J284" s="2"/>
      <c r="K284" s="2"/>
      <c r="L284" s="2"/>
    </row>
    <row r="285" spans="1:12" ht="15.75" customHeight="1" x14ac:dyDescent="0.2">
      <c r="A285" s="2"/>
      <c r="B285" s="2"/>
      <c r="C285" s="2"/>
      <c r="D285" s="2"/>
      <c r="E285" s="2"/>
      <c r="F285" s="2"/>
      <c r="G285" s="2"/>
      <c r="H285" s="2"/>
      <c r="I285" s="2"/>
      <c r="J285" s="2"/>
      <c r="K285" s="2"/>
      <c r="L285" s="2"/>
    </row>
    <row r="286" spans="1:12" ht="15.75" customHeight="1" x14ac:dyDescent="0.2">
      <c r="A286" s="2"/>
      <c r="B286" s="2"/>
      <c r="C286" s="2"/>
      <c r="D286" s="2"/>
      <c r="E286" s="2"/>
      <c r="F286" s="2"/>
      <c r="G286" s="2"/>
      <c r="H286" s="2"/>
      <c r="I286" s="2"/>
      <c r="J286" s="2"/>
      <c r="K286" s="2"/>
      <c r="L286" s="2"/>
    </row>
    <row r="287" spans="1:12" ht="15.75" customHeight="1" x14ac:dyDescent="0.2">
      <c r="A287" s="2"/>
      <c r="B287" s="2"/>
      <c r="C287" s="2"/>
      <c r="D287" s="2"/>
      <c r="E287" s="2"/>
      <c r="F287" s="2"/>
      <c r="G287" s="2"/>
      <c r="H287" s="2"/>
      <c r="I287" s="2"/>
      <c r="J287" s="2"/>
      <c r="K287" s="2"/>
      <c r="L287" s="2"/>
    </row>
    <row r="288" spans="1:12" ht="15.75" customHeight="1" x14ac:dyDescent="0.2">
      <c r="A288" s="2"/>
      <c r="B288" s="2"/>
      <c r="C288" s="2"/>
      <c r="D288" s="2"/>
      <c r="E288" s="2"/>
      <c r="F288" s="2"/>
      <c r="G288" s="2"/>
      <c r="H288" s="2"/>
      <c r="I288" s="2"/>
      <c r="J288" s="2"/>
      <c r="K288" s="2"/>
      <c r="L288" s="2"/>
    </row>
    <row r="289" spans="1:12" ht="15.75" customHeight="1" x14ac:dyDescent="0.2">
      <c r="A289" s="2"/>
      <c r="B289" s="2"/>
      <c r="C289" s="2"/>
      <c r="D289" s="2"/>
      <c r="E289" s="2"/>
      <c r="F289" s="2"/>
      <c r="G289" s="2"/>
      <c r="H289" s="2"/>
      <c r="I289" s="2"/>
      <c r="J289" s="2"/>
      <c r="K289" s="2"/>
      <c r="L289" s="2"/>
    </row>
    <row r="290" spans="1:12" ht="15.75" customHeight="1" x14ac:dyDescent="0.2">
      <c r="A290" s="2"/>
      <c r="B290" s="2"/>
      <c r="C290" s="2"/>
      <c r="D290" s="2"/>
      <c r="E290" s="2"/>
      <c r="F290" s="2"/>
      <c r="G290" s="2"/>
      <c r="H290" s="2"/>
      <c r="I290" s="2"/>
      <c r="J290" s="2"/>
      <c r="K290" s="2"/>
      <c r="L290" s="2"/>
    </row>
    <row r="291" spans="1:12" ht="15.75" customHeight="1" x14ac:dyDescent="0.2">
      <c r="A291" s="2"/>
      <c r="B291" s="2"/>
      <c r="C291" s="2"/>
      <c r="D291" s="2"/>
      <c r="E291" s="2"/>
      <c r="F291" s="2"/>
      <c r="G291" s="2"/>
      <c r="H291" s="2"/>
      <c r="I291" s="2"/>
      <c r="J291" s="2"/>
      <c r="K291" s="2"/>
      <c r="L291" s="2"/>
    </row>
    <row r="292" spans="1:12" ht="15.75" customHeight="1" x14ac:dyDescent="0.2">
      <c r="A292" s="2"/>
      <c r="B292" s="2"/>
      <c r="C292" s="2"/>
      <c r="D292" s="2"/>
      <c r="E292" s="2"/>
      <c r="F292" s="2"/>
      <c r="G292" s="2"/>
      <c r="H292" s="2"/>
      <c r="I292" s="2"/>
      <c r="J292" s="2"/>
      <c r="K292" s="2"/>
      <c r="L292" s="2"/>
    </row>
    <row r="293" spans="1:12" ht="15.75" customHeight="1" x14ac:dyDescent="0.2">
      <c r="A293" s="2"/>
      <c r="B293" s="2"/>
      <c r="C293" s="2"/>
      <c r="D293" s="2"/>
      <c r="E293" s="2"/>
      <c r="F293" s="2"/>
      <c r="G293" s="2"/>
      <c r="H293" s="2"/>
      <c r="I293" s="2"/>
      <c r="J293" s="2"/>
      <c r="K293" s="2"/>
      <c r="L293" s="2"/>
    </row>
    <row r="294" spans="1:12" ht="15.75" customHeight="1" x14ac:dyDescent="0.2">
      <c r="A294" s="2"/>
      <c r="B294" s="2"/>
      <c r="C294" s="2"/>
      <c r="D294" s="2"/>
      <c r="E294" s="2"/>
      <c r="F294" s="2"/>
      <c r="G294" s="2"/>
      <c r="H294" s="2"/>
      <c r="I294" s="2"/>
      <c r="J294" s="2"/>
      <c r="K294" s="2"/>
      <c r="L294" s="2"/>
    </row>
    <row r="295" spans="1:12" ht="15.75" customHeight="1" x14ac:dyDescent="0.2">
      <c r="A295" s="2"/>
      <c r="B295" s="2"/>
      <c r="C295" s="2"/>
      <c r="D295" s="2"/>
      <c r="E295" s="2"/>
      <c r="F295" s="2"/>
      <c r="G295" s="2"/>
      <c r="H295" s="2"/>
      <c r="I295" s="2"/>
      <c r="J295" s="2"/>
      <c r="K295" s="2"/>
      <c r="L295" s="2"/>
    </row>
    <row r="296" spans="1:12" ht="15.75" customHeight="1" x14ac:dyDescent="0.2">
      <c r="A296" s="2"/>
      <c r="B296" s="2"/>
      <c r="C296" s="2"/>
      <c r="D296" s="2"/>
      <c r="E296" s="2"/>
      <c r="F296" s="2"/>
      <c r="G296" s="2"/>
      <c r="H296" s="2"/>
      <c r="I296" s="2"/>
      <c r="J296" s="2"/>
      <c r="K296" s="2"/>
      <c r="L296" s="2"/>
    </row>
    <row r="297" spans="1:12" ht="15.75" customHeight="1" x14ac:dyDescent="0.2">
      <c r="A297" s="2"/>
      <c r="B297" s="2"/>
      <c r="C297" s="2"/>
      <c r="D297" s="2"/>
      <c r="E297" s="2"/>
      <c r="F297" s="2"/>
      <c r="G297" s="2"/>
      <c r="H297" s="2"/>
      <c r="I297" s="2"/>
      <c r="J297" s="2"/>
      <c r="K297" s="2"/>
      <c r="L297" s="2"/>
    </row>
    <row r="298" spans="1:12" ht="15.75" customHeight="1" x14ac:dyDescent="0.2">
      <c r="A298" s="2"/>
      <c r="B298" s="2"/>
      <c r="C298" s="2"/>
      <c r="D298" s="2"/>
      <c r="E298" s="2"/>
      <c r="F298" s="2"/>
      <c r="G298" s="2"/>
      <c r="H298" s="2"/>
      <c r="I298" s="2"/>
      <c r="J298" s="2"/>
      <c r="K298" s="2"/>
      <c r="L298" s="2"/>
    </row>
    <row r="299" spans="1:12" ht="15.75" customHeight="1" x14ac:dyDescent="0.2">
      <c r="A299" s="2"/>
      <c r="B299" s="2"/>
      <c r="C299" s="2"/>
      <c r="D299" s="2"/>
      <c r="E299" s="2"/>
      <c r="F299" s="2"/>
      <c r="G299" s="2"/>
      <c r="H299" s="2"/>
      <c r="I299" s="2"/>
      <c r="J299" s="2"/>
      <c r="K299" s="2"/>
      <c r="L299" s="2"/>
    </row>
    <row r="300" spans="1:12" ht="15.75" customHeight="1" x14ac:dyDescent="0.2">
      <c r="A300" s="2"/>
      <c r="B300" s="2"/>
      <c r="C300" s="2"/>
      <c r="D300" s="2"/>
      <c r="E300" s="2"/>
      <c r="F300" s="2"/>
      <c r="G300" s="2"/>
      <c r="H300" s="2"/>
      <c r="I300" s="2"/>
      <c r="J300" s="2"/>
      <c r="K300" s="2"/>
      <c r="L300" s="2"/>
    </row>
    <row r="301" spans="1:12" ht="15.75" customHeight="1" x14ac:dyDescent="0.2">
      <c r="A301" s="2"/>
      <c r="B301" s="2"/>
      <c r="C301" s="2"/>
      <c r="D301" s="2"/>
      <c r="E301" s="2"/>
      <c r="F301" s="2"/>
      <c r="G301" s="2"/>
      <c r="H301" s="2"/>
      <c r="I301" s="2"/>
      <c r="J301" s="2"/>
      <c r="K301" s="2"/>
      <c r="L301" s="2"/>
    </row>
    <row r="302" spans="1:12" ht="15.75" customHeight="1" x14ac:dyDescent="0.2">
      <c r="A302" s="2"/>
      <c r="B302" s="2"/>
      <c r="C302" s="2"/>
      <c r="D302" s="2"/>
      <c r="E302" s="2"/>
      <c r="F302" s="2"/>
      <c r="G302" s="2"/>
      <c r="H302" s="2"/>
      <c r="I302" s="2"/>
      <c r="J302" s="2"/>
      <c r="K302" s="2"/>
      <c r="L302" s="2"/>
    </row>
    <row r="303" spans="1:12" ht="15.75" customHeight="1" x14ac:dyDescent="0.2">
      <c r="A303" s="2"/>
      <c r="B303" s="2"/>
      <c r="C303" s="2"/>
      <c r="D303" s="2"/>
      <c r="E303" s="2"/>
      <c r="F303" s="2"/>
      <c r="G303" s="2"/>
      <c r="H303" s="2"/>
      <c r="I303" s="2"/>
      <c r="J303" s="2"/>
      <c r="K303" s="2"/>
      <c r="L303" s="2"/>
    </row>
    <row r="304" spans="1:12" ht="15.75" customHeight="1" x14ac:dyDescent="0.2">
      <c r="A304" s="2"/>
      <c r="B304" s="2"/>
      <c r="C304" s="2"/>
      <c r="D304" s="2"/>
      <c r="E304" s="2"/>
      <c r="F304" s="2"/>
      <c r="G304" s="2"/>
      <c r="H304" s="2"/>
      <c r="I304" s="2"/>
      <c r="J304" s="2"/>
      <c r="K304" s="2"/>
      <c r="L304" s="2"/>
    </row>
    <row r="305" spans="1:12" ht="15.75" customHeight="1" x14ac:dyDescent="0.2">
      <c r="A305" s="2"/>
      <c r="B305" s="2"/>
      <c r="C305" s="2"/>
      <c r="D305" s="2"/>
      <c r="E305" s="2"/>
      <c r="F305" s="2"/>
      <c r="G305" s="2"/>
      <c r="H305" s="2"/>
      <c r="I305" s="2"/>
      <c r="J305" s="2"/>
      <c r="K305" s="2"/>
      <c r="L305" s="2"/>
    </row>
    <row r="306" spans="1:12" ht="15.75" customHeight="1" x14ac:dyDescent="0.2">
      <c r="A306" s="2"/>
      <c r="B306" s="2"/>
      <c r="C306" s="2"/>
      <c r="D306" s="2"/>
      <c r="E306" s="2"/>
      <c r="F306" s="2"/>
      <c r="G306" s="2"/>
      <c r="H306" s="2"/>
      <c r="I306" s="2"/>
      <c r="J306" s="2"/>
      <c r="K306" s="2"/>
      <c r="L306" s="2"/>
    </row>
    <row r="307" spans="1:12" ht="15.75" customHeight="1" x14ac:dyDescent="0.2">
      <c r="A307" s="2"/>
      <c r="B307" s="2"/>
      <c r="C307" s="2"/>
      <c r="D307" s="2"/>
      <c r="E307" s="2"/>
      <c r="F307" s="2"/>
      <c r="G307" s="2"/>
      <c r="H307" s="2"/>
      <c r="I307" s="2"/>
      <c r="J307" s="2"/>
      <c r="K307" s="2"/>
      <c r="L307" s="2"/>
    </row>
    <row r="308" spans="1:12" ht="15.75" customHeight="1" x14ac:dyDescent="0.2">
      <c r="A308" s="2"/>
      <c r="B308" s="2"/>
      <c r="C308" s="2"/>
      <c r="D308" s="2"/>
      <c r="E308" s="2"/>
      <c r="F308" s="2"/>
      <c r="G308" s="2"/>
      <c r="H308" s="2"/>
      <c r="I308" s="2"/>
      <c r="J308" s="2"/>
      <c r="K308" s="2"/>
      <c r="L308" s="2"/>
    </row>
    <row r="309" spans="1:12" ht="15.75" customHeight="1" x14ac:dyDescent="0.2">
      <c r="A309" s="2"/>
      <c r="B309" s="2"/>
      <c r="C309" s="2"/>
      <c r="D309" s="2"/>
      <c r="E309" s="2"/>
      <c r="F309" s="2"/>
      <c r="G309" s="2"/>
      <c r="H309" s="2"/>
      <c r="I309" s="2"/>
      <c r="J309" s="2"/>
      <c r="K309" s="2"/>
      <c r="L309" s="2"/>
    </row>
    <row r="310" spans="1:12" ht="15.75" customHeight="1" x14ac:dyDescent="0.2">
      <c r="A310" s="2"/>
      <c r="B310" s="2"/>
      <c r="C310" s="2"/>
      <c r="D310" s="2"/>
      <c r="E310" s="2"/>
      <c r="F310" s="2"/>
      <c r="G310" s="2"/>
      <c r="H310" s="2"/>
      <c r="I310" s="2"/>
      <c r="J310" s="2"/>
      <c r="K310" s="2"/>
      <c r="L310" s="2"/>
    </row>
    <row r="311" spans="1:12" ht="15.75" customHeight="1" x14ac:dyDescent="0.2">
      <c r="A311" s="2"/>
      <c r="B311" s="2"/>
      <c r="C311" s="2"/>
      <c r="D311" s="2"/>
      <c r="E311" s="2"/>
      <c r="F311" s="2"/>
      <c r="G311" s="2"/>
      <c r="H311" s="2"/>
      <c r="I311" s="2"/>
      <c r="J311" s="2"/>
      <c r="K311" s="2"/>
      <c r="L311" s="2"/>
    </row>
    <row r="312" spans="1:12" ht="15.75" customHeight="1" x14ac:dyDescent="0.2">
      <c r="A312" s="2"/>
      <c r="B312" s="2"/>
      <c r="C312" s="2"/>
      <c r="D312" s="2"/>
      <c r="E312" s="2"/>
      <c r="F312" s="2"/>
      <c r="G312" s="2"/>
      <c r="H312" s="2"/>
      <c r="I312" s="2"/>
      <c r="J312" s="2"/>
      <c r="K312" s="2"/>
      <c r="L312" s="2"/>
    </row>
    <row r="313" spans="1:12" ht="15.75" customHeight="1" x14ac:dyDescent="0.2">
      <c r="A313" s="2"/>
      <c r="B313" s="2"/>
      <c r="C313" s="2"/>
      <c r="D313" s="2"/>
      <c r="E313" s="2"/>
      <c r="F313" s="2"/>
      <c r="G313" s="2"/>
      <c r="H313" s="2"/>
      <c r="I313" s="2"/>
      <c r="J313" s="2"/>
      <c r="K313" s="2"/>
      <c r="L313" s="2"/>
    </row>
    <row r="314" spans="1:12" ht="15.75" customHeight="1" x14ac:dyDescent="0.2">
      <c r="A314" s="2"/>
      <c r="B314" s="2"/>
      <c r="C314" s="2"/>
      <c r="D314" s="2"/>
      <c r="E314" s="2"/>
      <c r="F314" s="2"/>
      <c r="G314" s="2"/>
      <c r="H314" s="2"/>
      <c r="I314" s="2"/>
      <c r="J314" s="2"/>
      <c r="K314" s="2"/>
      <c r="L314" s="2"/>
    </row>
    <row r="315" spans="1:12" ht="15.75" customHeight="1" x14ac:dyDescent="0.2">
      <c r="A315" s="2"/>
      <c r="B315" s="2"/>
      <c r="C315" s="2"/>
      <c r="D315" s="2"/>
      <c r="E315" s="2"/>
      <c r="F315" s="2"/>
      <c r="G315" s="2"/>
      <c r="H315" s="2"/>
      <c r="I315" s="2"/>
      <c r="J315" s="2"/>
      <c r="K315" s="2"/>
      <c r="L315" s="2"/>
    </row>
    <row r="316" spans="1:12" ht="15.75" customHeight="1" x14ac:dyDescent="0.2">
      <c r="A316" s="2"/>
      <c r="B316" s="2"/>
      <c r="C316" s="2"/>
      <c r="D316" s="2"/>
      <c r="E316" s="2"/>
      <c r="F316" s="2"/>
      <c r="G316" s="2"/>
      <c r="H316" s="2"/>
      <c r="I316" s="2"/>
      <c r="J316" s="2"/>
      <c r="K316" s="2"/>
      <c r="L316" s="2"/>
    </row>
    <row r="317" spans="1:12" ht="15.75" customHeight="1" x14ac:dyDescent="0.2">
      <c r="A317" s="2"/>
      <c r="B317" s="2"/>
      <c r="C317" s="2"/>
      <c r="D317" s="2"/>
      <c r="E317" s="2"/>
      <c r="F317" s="2"/>
      <c r="G317" s="2"/>
      <c r="H317" s="2"/>
      <c r="I317" s="2"/>
      <c r="J317" s="2"/>
      <c r="K317" s="2"/>
      <c r="L317" s="2"/>
    </row>
    <row r="318" spans="1:12" ht="15.75" customHeight="1" x14ac:dyDescent="0.2">
      <c r="A318" s="2"/>
      <c r="B318" s="2"/>
      <c r="C318" s="2"/>
      <c r="D318" s="2"/>
      <c r="E318" s="2"/>
      <c r="F318" s="2"/>
      <c r="G318" s="2"/>
      <c r="H318" s="2"/>
      <c r="I318" s="2"/>
      <c r="J318" s="2"/>
      <c r="K318" s="2"/>
      <c r="L318" s="2"/>
    </row>
    <row r="319" spans="1:12" ht="15.75" customHeight="1" x14ac:dyDescent="0.2">
      <c r="A319" s="2"/>
      <c r="B319" s="2"/>
      <c r="C319" s="2"/>
      <c r="D319" s="2"/>
      <c r="E319" s="2"/>
      <c r="F319" s="2"/>
      <c r="G319" s="2"/>
      <c r="H319" s="2"/>
      <c r="I319" s="2"/>
      <c r="J319" s="2"/>
      <c r="K319" s="2"/>
      <c r="L319" s="2"/>
    </row>
    <row r="320" spans="1:12" ht="15.75" customHeight="1" x14ac:dyDescent="0.2">
      <c r="A320" s="2"/>
      <c r="B320" s="2"/>
      <c r="C320" s="2"/>
      <c r="D320" s="2"/>
      <c r="E320" s="2"/>
      <c r="F320" s="2"/>
      <c r="G320" s="2"/>
      <c r="H320" s="2"/>
      <c r="I320" s="2"/>
      <c r="J320" s="2"/>
      <c r="K320" s="2"/>
      <c r="L320" s="2"/>
    </row>
    <row r="321" spans="1:12" ht="15.75" customHeight="1" x14ac:dyDescent="0.2">
      <c r="A321" s="2"/>
      <c r="B321" s="2"/>
      <c r="C321" s="2"/>
      <c r="D321" s="2"/>
      <c r="E321" s="2"/>
      <c r="F321" s="2"/>
      <c r="G321" s="2"/>
      <c r="H321" s="2"/>
      <c r="I321" s="2"/>
      <c r="J321" s="2"/>
      <c r="K321" s="2"/>
      <c r="L321" s="2"/>
    </row>
    <row r="322" spans="1:12" ht="15.75" customHeight="1" x14ac:dyDescent="0.2">
      <c r="A322" s="2"/>
      <c r="B322" s="2"/>
      <c r="C322" s="2"/>
      <c r="D322" s="2"/>
      <c r="E322" s="2"/>
      <c r="F322" s="2"/>
      <c r="G322" s="2"/>
      <c r="H322" s="2"/>
      <c r="I322" s="2"/>
      <c r="J322" s="2"/>
      <c r="K322" s="2"/>
      <c r="L322" s="2"/>
    </row>
    <row r="323" spans="1:12" ht="15.75" customHeight="1" x14ac:dyDescent="0.2">
      <c r="A323" s="2"/>
      <c r="B323" s="2"/>
      <c r="C323" s="2"/>
      <c r="D323" s="2"/>
      <c r="E323" s="2"/>
      <c r="F323" s="2"/>
      <c r="G323" s="2"/>
      <c r="H323" s="2"/>
      <c r="I323" s="2"/>
      <c r="J323" s="2"/>
      <c r="K323" s="2"/>
      <c r="L323" s="2"/>
    </row>
    <row r="324" spans="1:12" ht="15.75" customHeight="1" x14ac:dyDescent="0.2">
      <c r="A324" s="2"/>
      <c r="B324" s="2"/>
      <c r="C324" s="2"/>
      <c r="D324" s="2"/>
      <c r="E324" s="2"/>
      <c r="F324" s="2"/>
      <c r="G324" s="2"/>
      <c r="H324" s="2"/>
      <c r="I324" s="2"/>
      <c r="J324" s="2"/>
      <c r="K324" s="2"/>
      <c r="L324" s="2"/>
    </row>
    <row r="325" spans="1:12" ht="15.75" customHeight="1" x14ac:dyDescent="0.2">
      <c r="A325" s="2"/>
      <c r="B325" s="2"/>
      <c r="C325" s="2"/>
      <c r="D325" s="2"/>
      <c r="E325" s="2"/>
      <c r="F325" s="2"/>
      <c r="G325" s="2"/>
      <c r="H325" s="2"/>
      <c r="I325" s="2"/>
      <c r="J325" s="2"/>
      <c r="K325" s="2"/>
      <c r="L325" s="2"/>
    </row>
    <row r="326" spans="1:12" ht="15.75" customHeight="1" x14ac:dyDescent="0.2">
      <c r="A326" s="2"/>
      <c r="B326" s="2"/>
      <c r="C326" s="2"/>
      <c r="D326" s="2"/>
      <c r="E326" s="2"/>
      <c r="F326" s="2"/>
      <c r="G326" s="2"/>
      <c r="H326" s="2"/>
      <c r="I326" s="2"/>
      <c r="J326" s="2"/>
      <c r="K326" s="2"/>
      <c r="L326" s="2"/>
    </row>
    <row r="327" spans="1:12" ht="15.75" customHeight="1" x14ac:dyDescent="0.2">
      <c r="A327" s="2"/>
      <c r="B327" s="2"/>
      <c r="C327" s="2"/>
      <c r="D327" s="2"/>
      <c r="E327" s="2"/>
      <c r="F327" s="2"/>
      <c r="G327" s="2"/>
      <c r="H327" s="2"/>
      <c r="I327" s="2"/>
      <c r="J327" s="2"/>
      <c r="K327" s="2"/>
      <c r="L327" s="2"/>
    </row>
    <row r="328" spans="1:12" ht="15.75" customHeight="1" x14ac:dyDescent="0.2">
      <c r="A328" s="2"/>
      <c r="B328" s="2"/>
      <c r="C328" s="2"/>
      <c r="D328" s="2"/>
      <c r="E328" s="2"/>
      <c r="F328" s="2"/>
      <c r="G328" s="2"/>
      <c r="H328" s="2"/>
      <c r="I328" s="2"/>
      <c r="J328" s="2"/>
      <c r="K328" s="2"/>
      <c r="L328" s="2"/>
    </row>
    <row r="329" spans="1:12" ht="15.75" customHeight="1" x14ac:dyDescent="0.2">
      <c r="A329" s="2"/>
      <c r="B329" s="2"/>
      <c r="C329" s="2"/>
      <c r="D329" s="2"/>
      <c r="E329" s="2"/>
      <c r="F329" s="2"/>
      <c r="G329" s="2"/>
      <c r="H329" s="2"/>
      <c r="I329" s="2"/>
      <c r="J329" s="2"/>
      <c r="K329" s="2"/>
      <c r="L329" s="2"/>
    </row>
    <row r="330" spans="1:12" ht="15.75" customHeight="1" x14ac:dyDescent="0.2">
      <c r="A330" s="2"/>
      <c r="B330" s="2"/>
      <c r="C330" s="2"/>
      <c r="D330" s="2"/>
      <c r="E330" s="2"/>
      <c r="F330" s="2"/>
      <c r="G330" s="2"/>
      <c r="H330" s="2"/>
      <c r="I330" s="2"/>
      <c r="J330" s="2"/>
      <c r="K330" s="2"/>
      <c r="L330" s="2"/>
    </row>
    <row r="331" spans="1:12" ht="15.75" customHeight="1" x14ac:dyDescent="0.2">
      <c r="A331" s="2"/>
      <c r="B331" s="2"/>
      <c r="C331" s="2"/>
      <c r="D331" s="2"/>
      <c r="E331" s="2"/>
      <c r="F331" s="2"/>
      <c r="G331" s="2"/>
      <c r="H331" s="2"/>
      <c r="I331" s="2"/>
      <c r="J331" s="2"/>
      <c r="K331" s="2"/>
      <c r="L331" s="2"/>
    </row>
    <row r="332" spans="1:12" ht="15.75" customHeight="1" x14ac:dyDescent="0.2">
      <c r="A332" s="2"/>
      <c r="B332" s="2"/>
      <c r="C332" s="2"/>
      <c r="D332" s="2"/>
      <c r="E332" s="2"/>
      <c r="F332" s="2"/>
      <c r="G332" s="2"/>
      <c r="H332" s="2"/>
      <c r="I332" s="2"/>
      <c r="J332" s="2"/>
      <c r="K332" s="2"/>
      <c r="L332" s="2"/>
    </row>
    <row r="333" spans="1:12" ht="15.75" customHeight="1" x14ac:dyDescent="0.2">
      <c r="A333" s="2"/>
      <c r="B333" s="2"/>
      <c r="C333" s="2"/>
      <c r="D333" s="2"/>
      <c r="E333" s="2"/>
      <c r="F333" s="2"/>
      <c r="G333" s="2"/>
      <c r="H333" s="2"/>
      <c r="I333" s="2"/>
      <c r="J333" s="2"/>
      <c r="K333" s="2"/>
      <c r="L333" s="2"/>
    </row>
    <row r="334" spans="1:12" ht="15.75" customHeight="1" x14ac:dyDescent="0.2">
      <c r="A334" s="2"/>
      <c r="B334" s="2"/>
      <c r="C334" s="2"/>
      <c r="D334" s="2"/>
      <c r="E334" s="2"/>
      <c r="F334" s="2"/>
      <c r="G334" s="2"/>
      <c r="H334" s="2"/>
      <c r="I334" s="2"/>
      <c r="J334" s="2"/>
      <c r="K334" s="2"/>
      <c r="L334" s="2"/>
    </row>
    <row r="335" spans="1:12" ht="15.75" customHeight="1" x14ac:dyDescent="0.2">
      <c r="A335" s="2"/>
      <c r="B335" s="2"/>
      <c r="C335" s="2"/>
      <c r="D335" s="2"/>
      <c r="E335" s="2"/>
      <c r="F335" s="2"/>
      <c r="G335" s="2"/>
      <c r="H335" s="2"/>
      <c r="I335" s="2"/>
      <c r="J335" s="2"/>
      <c r="K335" s="2"/>
      <c r="L335" s="2"/>
    </row>
    <row r="336" spans="1:12" ht="15.75" customHeight="1" x14ac:dyDescent="0.2">
      <c r="A336" s="2"/>
      <c r="B336" s="2"/>
      <c r="C336" s="2"/>
      <c r="D336" s="2"/>
      <c r="E336" s="2"/>
      <c r="F336" s="2"/>
      <c r="G336" s="2"/>
      <c r="H336" s="2"/>
      <c r="I336" s="2"/>
      <c r="J336" s="2"/>
      <c r="K336" s="2"/>
      <c r="L336" s="2"/>
    </row>
    <row r="337" spans="1:12" ht="15.75" customHeight="1" x14ac:dyDescent="0.2">
      <c r="A337" s="2"/>
      <c r="B337" s="2"/>
      <c r="C337" s="2"/>
      <c r="D337" s="2"/>
      <c r="E337" s="2"/>
      <c r="F337" s="2"/>
      <c r="G337" s="2"/>
      <c r="H337" s="2"/>
      <c r="I337" s="2"/>
      <c r="J337" s="2"/>
      <c r="K337" s="2"/>
      <c r="L337" s="2"/>
    </row>
    <row r="338" spans="1:12" ht="15.75" customHeight="1" x14ac:dyDescent="0.2">
      <c r="A338" s="2"/>
      <c r="B338" s="2"/>
      <c r="C338" s="2"/>
      <c r="D338" s="2"/>
      <c r="E338" s="2"/>
      <c r="F338" s="2"/>
      <c r="G338" s="2"/>
      <c r="H338" s="2"/>
      <c r="I338" s="2"/>
      <c r="J338" s="2"/>
      <c r="K338" s="2"/>
      <c r="L338" s="2"/>
    </row>
    <row r="339" spans="1:12" ht="15.75" customHeight="1" x14ac:dyDescent="0.2">
      <c r="A339" s="2"/>
      <c r="B339" s="2"/>
      <c r="C339" s="2"/>
      <c r="D339" s="2"/>
      <c r="E339" s="2"/>
      <c r="F339" s="2"/>
      <c r="G339" s="2"/>
      <c r="H339" s="2"/>
      <c r="I339" s="2"/>
      <c r="J339" s="2"/>
      <c r="K339" s="2"/>
      <c r="L339" s="2"/>
    </row>
    <row r="340" spans="1:12" ht="15.75" customHeight="1" x14ac:dyDescent="0.2">
      <c r="A340" s="2"/>
      <c r="B340" s="2"/>
      <c r="C340" s="2"/>
      <c r="D340" s="2"/>
      <c r="E340" s="2"/>
      <c r="F340" s="2"/>
      <c r="G340" s="2"/>
      <c r="H340" s="2"/>
      <c r="I340" s="2"/>
      <c r="J340" s="2"/>
      <c r="K340" s="2"/>
      <c r="L340" s="2"/>
    </row>
    <row r="341" spans="1:12" ht="15.75" customHeight="1" x14ac:dyDescent="0.2">
      <c r="A341" s="2"/>
      <c r="B341" s="2"/>
      <c r="C341" s="2"/>
      <c r="D341" s="2"/>
      <c r="E341" s="2"/>
      <c r="F341" s="2"/>
      <c r="G341" s="2"/>
      <c r="H341" s="2"/>
      <c r="I341" s="2"/>
      <c r="J341" s="2"/>
      <c r="K341" s="2"/>
      <c r="L341" s="2"/>
    </row>
    <row r="342" spans="1:12" ht="15.75" customHeight="1" x14ac:dyDescent="0.2">
      <c r="A342" s="2"/>
      <c r="B342" s="2"/>
      <c r="C342" s="2"/>
      <c r="D342" s="2"/>
      <c r="E342" s="2"/>
      <c r="F342" s="2"/>
      <c r="G342" s="2"/>
      <c r="H342" s="2"/>
      <c r="I342" s="2"/>
      <c r="J342" s="2"/>
      <c r="K342" s="2"/>
      <c r="L342" s="2"/>
    </row>
    <row r="343" spans="1:12" ht="15.75" customHeight="1" x14ac:dyDescent="0.2">
      <c r="A343" s="2"/>
      <c r="B343" s="2"/>
      <c r="C343" s="2"/>
      <c r="D343" s="2"/>
      <c r="E343" s="2"/>
      <c r="F343" s="2"/>
      <c r="G343" s="2"/>
      <c r="H343" s="2"/>
      <c r="I343" s="2"/>
      <c r="J343" s="2"/>
      <c r="K343" s="2"/>
      <c r="L343" s="2"/>
    </row>
    <row r="344" spans="1:12" ht="15.75" customHeight="1" x14ac:dyDescent="0.2">
      <c r="A344" s="2"/>
      <c r="B344" s="2"/>
      <c r="C344" s="2"/>
      <c r="D344" s="2"/>
      <c r="E344" s="2"/>
      <c r="F344" s="2"/>
      <c r="G344" s="2"/>
      <c r="H344" s="2"/>
      <c r="I344" s="2"/>
      <c r="J344" s="2"/>
      <c r="K344" s="2"/>
      <c r="L344" s="2"/>
    </row>
    <row r="345" spans="1:12" ht="15.75" customHeight="1" x14ac:dyDescent="0.2">
      <c r="A345" s="2"/>
      <c r="B345" s="2"/>
      <c r="C345" s="2"/>
      <c r="D345" s="2"/>
      <c r="E345" s="2"/>
      <c r="F345" s="2"/>
      <c r="G345" s="2"/>
      <c r="H345" s="2"/>
      <c r="I345" s="2"/>
      <c r="J345" s="2"/>
      <c r="K345" s="2"/>
      <c r="L345" s="2"/>
    </row>
    <row r="346" spans="1:12" ht="15.75" customHeight="1" x14ac:dyDescent="0.2">
      <c r="A346" s="2"/>
      <c r="B346" s="2"/>
      <c r="C346" s="2"/>
      <c r="D346" s="2"/>
      <c r="E346" s="2"/>
      <c r="F346" s="2"/>
      <c r="G346" s="2"/>
      <c r="H346" s="2"/>
      <c r="I346" s="2"/>
      <c r="J346" s="2"/>
      <c r="K346" s="2"/>
      <c r="L346" s="2"/>
    </row>
    <row r="347" spans="1:12" ht="15.75" customHeight="1" x14ac:dyDescent="0.2">
      <c r="A347" s="2"/>
      <c r="B347" s="2"/>
      <c r="C347" s="2"/>
      <c r="D347" s="2"/>
      <c r="E347" s="2"/>
      <c r="F347" s="2"/>
      <c r="G347" s="2"/>
      <c r="H347" s="2"/>
      <c r="I347" s="2"/>
      <c r="J347" s="2"/>
      <c r="K347" s="2"/>
      <c r="L347" s="2"/>
    </row>
    <row r="348" spans="1:12" ht="15.75" customHeight="1" x14ac:dyDescent="0.2">
      <c r="A348" s="2"/>
      <c r="B348" s="2"/>
      <c r="C348" s="2"/>
      <c r="D348" s="2"/>
      <c r="E348" s="2"/>
      <c r="F348" s="2"/>
      <c r="G348" s="2"/>
      <c r="H348" s="2"/>
      <c r="I348" s="2"/>
      <c r="J348" s="2"/>
      <c r="K348" s="2"/>
      <c r="L348" s="2"/>
    </row>
    <row r="349" spans="1:12" ht="15.75" customHeight="1" x14ac:dyDescent="0.2">
      <c r="A349" s="2"/>
      <c r="B349" s="2"/>
      <c r="C349" s="2"/>
      <c r="D349" s="2"/>
      <c r="E349" s="2"/>
      <c r="F349" s="2"/>
      <c r="G349" s="2"/>
      <c r="H349" s="2"/>
      <c r="I349" s="2"/>
      <c r="J349" s="2"/>
      <c r="K349" s="2"/>
      <c r="L349" s="2"/>
    </row>
    <row r="350" spans="1:12" ht="15.75" customHeight="1" x14ac:dyDescent="0.2">
      <c r="A350" s="2"/>
      <c r="B350" s="2"/>
      <c r="C350" s="2"/>
      <c r="D350" s="2"/>
      <c r="E350" s="2"/>
      <c r="F350" s="2"/>
      <c r="G350" s="2"/>
      <c r="H350" s="2"/>
      <c r="I350" s="2"/>
      <c r="J350" s="2"/>
      <c r="K350" s="2"/>
      <c r="L350" s="2"/>
    </row>
    <row r="351" spans="1:12" ht="15.75" customHeight="1" x14ac:dyDescent="0.2">
      <c r="A351" s="2"/>
      <c r="B351" s="2"/>
      <c r="C351" s="2"/>
      <c r="D351" s="2"/>
      <c r="E351" s="2"/>
      <c r="F351" s="2"/>
      <c r="G351" s="2"/>
      <c r="H351" s="2"/>
      <c r="I351" s="2"/>
      <c r="J351" s="2"/>
      <c r="K351" s="2"/>
      <c r="L351" s="2"/>
    </row>
    <row r="352" spans="1:12" ht="15.75" customHeight="1" x14ac:dyDescent="0.2">
      <c r="A352" s="2"/>
      <c r="B352" s="2"/>
      <c r="C352" s="2"/>
      <c r="D352" s="2"/>
      <c r="E352" s="2"/>
      <c r="F352" s="2"/>
      <c r="G352" s="2"/>
      <c r="H352" s="2"/>
      <c r="I352" s="2"/>
      <c r="J352" s="2"/>
      <c r="K352" s="2"/>
      <c r="L352" s="2"/>
    </row>
    <row r="353" spans="1:12" ht="15.75" customHeight="1" x14ac:dyDescent="0.2">
      <c r="A353" s="2"/>
      <c r="B353" s="2"/>
      <c r="C353" s="2"/>
      <c r="D353" s="2"/>
      <c r="E353" s="2"/>
      <c r="F353" s="2"/>
      <c r="G353" s="2"/>
      <c r="H353" s="2"/>
      <c r="I353" s="2"/>
      <c r="J353" s="2"/>
      <c r="K353" s="2"/>
      <c r="L353" s="2"/>
    </row>
    <row r="354" spans="1:12" ht="15.75" customHeight="1" x14ac:dyDescent="0.2">
      <c r="A354" s="2"/>
      <c r="B354" s="2"/>
      <c r="C354" s="2"/>
      <c r="D354" s="2"/>
      <c r="E354" s="2"/>
      <c r="F354" s="2"/>
      <c r="G354" s="2"/>
      <c r="H354" s="2"/>
      <c r="I354" s="2"/>
      <c r="J354" s="2"/>
      <c r="K354" s="2"/>
      <c r="L354" s="2"/>
    </row>
    <row r="355" spans="1:12" ht="15.75" customHeight="1" x14ac:dyDescent="0.2">
      <c r="A355" s="2"/>
      <c r="B355" s="2"/>
      <c r="C355" s="2"/>
      <c r="D355" s="2"/>
      <c r="E355" s="2"/>
      <c r="F355" s="2"/>
      <c r="G355" s="2"/>
      <c r="H355" s="2"/>
      <c r="I355" s="2"/>
      <c r="J355" s="2"/>
      <c r="K355" s="2"/>
      <c r="L355" s="2"/>
    </row>
    <row r="356" spans="1:12" ht="15.75" customHeight="1" x14ac:dyDescent="0.2">
      <c r="A356" s="2"/>
      <c r="B356" s="2"/>
      <c r="C356" s="2"/>
      <c r="D356" s="2"/>
      <c r="E356" s="2"/>
      <c r="F356" s="2"/>
      <c r="G356" s="2"/>
      <c r="H356" s="2"/>
      <c r="I356" s="2"/>
      <c r="J356" s="2"/>
      <c r="K356" s="2"/>
      <c r="L356" s="2"/>
    </row>
    <row r="357" spans="1:12" ht="15.75" customHeight="1" x14ac:dyDescent="0.2">
      <c r="A357" s="2"/>
      <c r="B357" s="2"/>
      <c r="C357" s="2"/>
      <c r="D357" s="2"/>
      <c r="E357" s="2"/>
      <c r="F357" s="2"/>
      <c r="G357" s="2"/>
      <c r="H357" s="2"/>
      <c r="I357" s="2"/>
      <c r="J357" s="2"/>
      <c r="K357" s="2"/>
      <c r="L357" s="2"/>
    </row>
    <row r="358" spans="1:12" ht="15.75" customHeight="1" x14ac:dyDescent="0.2">
      <c r="A358" s="2"/>
      <c r="B358" s="2"/>
      <c r="C358" s="2"/>
      <c r="D358" s="2"/>
      <c r="E358" s="2"/>
      <c r="F358" s="2"/>
      <c r="G358" s="2"/>
      <c r="H358" s="2"/>
      <c r="I358" s="2"/>
      <c r="J358" s="2"/>
      <c r="K358" s="2"/>
      <c r="L358" s="2"/>
    </row>
    <row r="359" spans="1:12" ht="15.75" customHeight="1" x14ac:dyDescent="0.2">
      <c r="A359" s="2"/>
      <c r="B359" s="2"/>
      <c r="C359" s="2"/>
      <c r="D359" s="2"/>
      <c r="E359" s="2"/>
      <c r="F359" s="2"/>
      <c r="G359" s="2"/>
      <c r="H359" s="2"/>
      <c r="I359" s="2"/>
      <c r="J359" s="2"/>
      <c r="K359" s="2"/>
      <c r="L359" s="2"/>
    </row>
    <row r="360" spans="1:12" ht="15.75" customHeight="1" x14ac:dyDescent="0.2">
      <c r="A360" s="2"/>
      <c r="B360" s="2"/>
      <c r="C360" s="2"/>
      <c r="D360" s="2"/>
      <c r="E360" s="2"/>
      <c r="F360" s="2"/>
      <c r="G360" s="2"/>
      <c r="H360" s="2"/>
      <c r="I360" s="2"/>
      <c r="J360" s="2"/>
      <c r="K360" s="2"/>
      <c r="L360" s="2"/>
    </row>
    <row r="361" spans="1:12" ht="15.75" customHeight="1" x14ac:dyDescent="0.2">
      <c r="A361" s="2"/>
      <c r="B361" s="2"/>
      <c r="C361" s="2"/>
      <c r="D361" s="2"/>
      <c r="E361" s="2"/>
      <c r="F361" s="2"/>
      <c r="G361" s="2"/>
      <c r="H361" s="2"/>
      <c r="I361" s="2"/>
      <c r="J361" s="2"/>
      <c r="K361" s="2"/>
      <c r="L361" s="2"/>
    </row>
    <row r="362" spans="1:12" ht="15.75" customHeight="1" x14ac:dyDescent="0.2">
      <c r="A362" s="2"/>
      <c r="B362" s="2"/>
      <c r="C362" s="2"/>
      <c r="D362" s="2"/>
      <c r="E362" s="2"/>
      <c r="F362" s="2"/>
      <c r="G362" s="2"/>
      <c r="H362" s="2"/>
      <c r="I362" s="2"/>
      <c r="J362" s="2"/>
      <c r="K362" s="2"/>
      <c r="L362" s="2"/>
    </row>
    <row r="363" spans="1:12" ht="15.75" customHeight="1" x14ac:dyDescent="0.2">
      <c r="A363" s="2"/>
      <c r="B363" s="2"/>
      <c r="C363" s="2"/>
      <c r="D363" s="2"/>
      <c r="E363" s="2"/>
      <c r="F363" s="2"/>
      <c r="G363" s="2"/>
      <c r="H363" s="2"/>
      <c r="I363" s="2"/>
      <c r="J363" s="2"/>
      <c r="K363" s="2"/>
      <c r="L363" s="2"/>
    </row>
    <row r="364" spans="1:12" ht="15.75" customHeight="1" x14ac:dyDescent="0.2">
      <c r="A364" s="2"/>
      <c r="B364" s="2"/>
      <c r="C364" s="2"/>
      <c r="D364" s="2"/>
      <c r="E364" s="2"/>
      <c r="F364" s="2"/>
      <c r="G364" s="2"/>
      <c r="H364" s="2"/>
      <c r="I364" s="2"/>
      <c r="J364" s="2"/>
      <c r="K364" s="2"/>
      <c r="L364" s="2"/>
    </row>
    <row r="365" spans="1:12" ht="15.75" customHeight="1" x14ac:dyDescent="0.2">
      <c r="A365" s="2"/>
      <c r="B365" s="2"/>
      <c r="C365" s="2"/>
      <c r="D365" s="2"/>
      <c r="E365" s="2"/>
      <c r="F365" s="2"/>
      <c r="G365" s="2"/>
      <c r="H365" s="2"/>
      <c r="I365" s="2"/>
      <c r="J365" s="2"/>
      <c r="K365" s="2"/>
      <c r="L365" s="2"/>
    </row>
    <row r="366" spans="1:12" ht="15.75" customHeight="1" x14ac:dyDescent="0.2">
      <c r="A366" s="2"/>
      <c r="B366" s="2"/>
      <c r="C366" s="2"/>
      <c r="D366" s="2"/>
      <c r="E366" s="2"/>
      <c r="F366" s="2"/>
      <c r="G366" s="2"/>
      <c r="H366" s="2"/>
      <c r="I366" s="2"/>
      <c r="J366" s="2"/>
      <c r="K366" s="2"/>
      <c r="L366" s="2"/>
    </row>
    <row r="367" spans="1:12" ht="15.75" customHeight="1" x14ac:dyDescent="0.2">
      <c r="A367" s="2"/>
      <c r="B367" s="2"/>
      <c r="C367" s="2"/>
      <c r="D367" s="2"/>
      <c r="E367" s="2"/>
      <c r="F367" s="2"/>
      <c r="G367" s="2"/>
      <c r="H367" s="2"/>
      <c r="I367" s="2"/>
      <c r="J367" s="2"/>
      <c r="K367" s="2"/>
      <c r="L367" s="2"/>
    </row>
    <row r="368" spans="1:12" ht="15.75" customHeight="1" x14ac:dyDescent="0.2">
      <c r="A368" s="2"/>
      <c r="B368" s="2"/>
      <c r="C368" s="2"/>
      <c r="D368" s="2"/>
      <c r="E368" s="2"/>
      <c r="F368" s="2"/>
      <c r="G368" s="2"/>
      <c r="H368" s="2"/>
      <c r="I368" s="2"/>
      <c r="J368" s="2"/>
      <c r="K368" s="2"/>
      <c r="L368" s="2"/>
    </row>
    <row r="369" spans="1:12" ht="15.75" customHeight="1" x14ac:dyDescent="0.2">
      <c r="A369" s="2"/>
      <c r="B369" s="2"/>
      <c r="C369" s="2"/>
      <c r="D369" s="2"/>
      <c r="E369" s="2"/>
      <c r="F369" s="2"/>
      <c r="G369" s="2"/>
      <c r="H369" s="2"/>
      <c r="I369" s="2"/>
      <c r="J369" s="2"/>
      <c r="K369" s="2"/>
      <c r="L369" s="2"/>
    </row>
    <row r="370" spans="1:12" ht="15.75" customHeight="1" x14ac:dyDescent="0.2">
      <c r="A370" s="2"/>
      <c r="B370" s="2"/>
      <c r="C370" s="2"/>
      <c r="D370" s="2"/>
      <c r="E370" s="2"/>
      <c r="F370" s="2"/>
      <c r="G370" s="2"/>
      <c r="H370" s="2"/>
      <c r="I370" s="2"/>
      <c r="J370" s="2"/>
      <c r="K370" s="2"/>
      <c r="L370" s="2"/>
    </row>
    <row r="371" spans="1:12" ht="15.75" customHeight="1" x14ac:dyDescent="0.2">
      <c r="A371" s="2"/>
      <c r="B371" s="2"/>
      <c r="C371" s="2"/>
      <c r="D371" s="2"/>
      <c r="E371" s="2"/>
      <c r="F371" s="2"/>
      <c r="G371" s="2"/>
      <c r="H371" s="2"/>
      <c r="I371" s="2"/>
      <c r="J371" s="2"/>
      <c r="K371" s="2"/>
      <c r="L371" s="2"/>
    </row>
    <row r="372" spans="1:12" ht="15.75" customHeight="1" x14ac:dyDescent="0.2">
      <c r="A372" s="2"/>
      <c r="B372" s="2"/>
      <c r="C372" s="2"/>
      <c r="D372" s="2"/>
      <c r="E372" s="2"/>
      <c r="F372" s="2"/>
      <c r="G372" s="2"/>
      <c r="H372" s="2"/>
      <c r="I372" s="2"/>
      <c r="J372" s="2"/>
      <c r="K372" s="2"/>
      <c r="L372" s="2"/>
    </row>
    <row r="373" spans="1:12" ht="15.75" customHeight="1" x14ac:dyDescent="0.2">
      <c r="A373" s="2"/>
      <c r="B373" s="2"/>
      <c r="C373" s="2"/>
      <c r="D373" s="2"/>
      <c r="E373" s="2"/>
      <c r="F373" s="2"/>
      <c r="G373" s="2"/>
      <c r="H373" s="2"/>
      <c r="I373" s="2"/>
      <c r="J373" s="2"/>
      <c r="K373" s="2"/>
      <c r="L373" s="2"/>
    </row>
    <row r="374" spans="1:12" ht="15.75" customHeight="1" x14ac:dyDescent="0.2">
      <c r="A374" s="2"/>
      <c r="B374" s="2"/>
      <c r="C374" s="2"/>
      <c r="D374" s="2"/>
      <c r="E374" s="2"/>
      <c r="F374" s="2"/>
      <c r="G374" s="2"/>
      <c r="H374" s="2"/>
      <c r="I374" s="2"/>
      <c r="J374" s="2"/>
      <c r="K374" s="2"/>
      <c r="L374" s="2"/>
    </row>
    <row r="375" spans="1:12" ht="15.75" customHeight="1" x14ac:dyDescent="0.2">
      <c r="A375" s="2"/>
      <c r="B375" s="2"/>
      <c r="C375" s="2"/>
      <c r="D375" s="2"/>
      <c r="E375" s="2"/>
      <c r="F375" s="2"/>
      <c r="G375" s="2"/>
      <c r="H375" s="2"/>
      <c r="I375" s="2"/>
      <c r="J375" s="2"/>
      <c r="K375" s="2"/>
      <c r="L375" s="2"/>
    </row>
    <row r="376" spans="1:12" ht="15.75" customHeight="1" x14ac:dyDescent="0.2">
      <c r="A376" s="2"/>
      <c r="B376" s="2"/>
      <c r="C376" s="2"/>
      <c r="D376" s="2"/>
      <c r="E376" s="2"/>
      <c r="F376" s="2"/>
      <c r="G376" s="2"/>
      <c r="H376" s="2"/>
      <c r="I376" s="2"/>
      <c r="J376" s="2"/>
      <c r="K376" s="2"/>
      <c r="L376" s="2"/>
    </row>
    <row r="377" spans="1:12" ht="15.75" customHeight="1" x14ac:dyDescent="0.2">
      <c r="A377" s="2"/>
      <c r="B377" s="2"/>
      <c r="C377" s="2"/>
      <c r="D377" s="2"/>
      <c r="E377" s="2"/>
      <c r="F377" s="2"/>
      <c r="G377" s="2"/>
      <c r="H377" s="2"/>
      <c r="I377" s="2"/>
      <c r="J377" s="2"/>
      <c r="K377" s="2"/>
      <c r="L377" s="2"/>
    </row>
    <row r="378" spans="1:12" ht="15.75" customHeight="1" x14ac:dyDescent="0.2">
      <c r="A378" s="2"/>
      <c r="B378" s="2"/>
      <c r="C378" s="2"/>
      <c r="D378" s="2"/>
      <c r="E378" s="2"/>
      <c r="F378" s="2"/>
      <c r="G378" s="2"/>
      <c r="H378" s="2"/>
      <c r="I378" s="2"/>
      <c r="J378" s="2"/>
      <c r="K378" s="2"/>
      <c r="L378" s="2"/>
    </row>
    <row r="379" spans="1:12" ht="15.75" customHeight="1" x14ac:dyDescent="0.2">
      <c r="A379" s="2"/>
      <c r="B379" s="2"/>
      <c r="C379" s="2"/>
      <c r="D379" s="2"/>
      <c r="E379" s="2"/>
      <c r="F379" s="2"/>
      <c r="G379" s="2"/>
      <c r="H379" s="2"/>
      <c r="I379" s="2"/>
      <c r="J379" s="2"/>
      <c r="K379" s="2"/>
      <c r="L379" s="2"/>
    </row>
    <row r="380" spans="1:12" ht="15.75" customHeight="1" x14ac:dyDescent="0.2">
      <c r="A380" s="2"/>
      <c r="B380" s="2"/>
      <c r="C380" s="2"/>
      <c r="D380" s="2"/>
      <c r="E380" s="2"/>
      <c r="F380" s="2"/>
      <c r="G380" s="2"/>
      <c r="H380" s="2"/>
      <c r="I380" s="2"/>
      <c r="J380" s="2"/>
      <c r="K380" s="2"/>
      <c r="L380" s="2"/>
    </row>
    <row r="381" spans="1:12" ht="15.75" customHeight="1" x14ac:dyDescent="0.2">
      <c r="A381" s="2"/>
      <c r="B381" s="2"/>
      <c r="C381" s="2"/>
      <c r="D381" s="2"/>
      <c r="E381" s="2"/>
      <c r="F381" s="2"/>
      <c r="G381" s="2"/>
      <c r="H381" s="2"/>
      <c r="I381" s="2"/>
      <c r="J381" s="2"/>
      <c r="K381" s="2"/>
      <c r="L381" s="2"/>
    </row>
    <row r="382" spans="1:12" ht="15.75" customHeight="1" x14ac:dyDescent="0.2">
      <c r="A382" s="2"/>
      <c r="B382" s="2"/>
      <c r="C382" s="2"/>
      <c r="D382" s="2"/>
      <c r="E382" s="2"/>
      <c r="F382" s="2"/>
      <c r="G382" s="2"/>
      <c r="H382" s="2"/>
      <c r="I382" s="2"/>
      <c r="J382" s="2"/>
      <c r="K382" s="2"/>
      <c r="L382" s="2"/>
    </row>
    <row r="383" spans="1:12" ht="15.75" customHeight="1" x14ac:dyDescent="0.2">
      <c r="A383" s="2"/>
      <c r="B383" s="2"/>
      <c r="C383" s="2"/>
      <c r="D383" s="2"/>
      <c r="E383" s="2"/>
      <c r="F383" s="2"/>
      <c r="G383" s="2"/>
      <c r="H383" s="2"/>
      <c r="I383" s="2"/>
      <c r="J383" s="2"/>
      <c r="K383" s="2"/>
      <c r="L383" s="2"/>
    </row>
    <row r="384" spans="1:12" ht="15.75" customHeight="1" x14ac:dyDescent="0.2">
      <c r="A384" s="2"/>
      <c r="B384" s="2"/>
      <c r="C384" s="2"/>
      <c r="D384" s="2"/>
      <c r="E384" s="2"/>
      <c r="F384" s="2"/>
      <c r="G384" s="2"/>
      <c r="H384" s="2"/>
      <c r="I384" s="2"/>
      <c r="J384" s="2"/>
      <c r="K384" s="2"/>
      <c r="L384" s="2"/>
    </row>
    <row r="385" spans="1:12" ht="15.75" customHeight="1" x14ac:dyDescent="0.2">
      <c r="A385" s="2"/>
      <c r="B385" s="2"/>
      <c r="C385" s="2"/>
      <c r="D385" s="2"/>
      <c r="E385" s="2"/>
      <c r="F385" s="2"/>
      <c r="G385" s="2"/>
      <c r="H385" s="2"/>
      <c r="I385" s="2"/>
      <c r="J385" s="2"/>
      <c r="K385" s="2"/>
      <c r="L385" s="2"/>
    </row>
    <row r="386" spans="1:12" ht="15.75" customHeight="1" x14ac:dyDescent="0.2">
      <c r="A386" s="2"/>
      <c r="B386" s="2"/>
      <c r="C386" s="2"/>
      <c r="D386" s="2"/>
      <c r="E386" s="2"/>
      <c r="F386" s="2"/>
      <c r="G386" s="2"/>
      <c r="H386" s="2"/>
      <c r="I386" s="2"/>
      <c r="J386" s="2"/>
      <c r="K386" s="2"/>
      <c r="L386" s="2"/>
    </row>
    <row r="387" spans="1:12" ht="15.75" customHeight="1" x14ac:dyDescent="0.2">
      <c r="A387" s="2"/>
      <c r="B387" s="2"/>
      <c r="C387" s="2"/>
      <c r="D387" s="2"/>
      <c r="E387" s="2"/>
      <c r="F387" s="2"/>
      <c r="G387" s="2"/>
      <c r="H387" s="2"/>
      <c r="I387" s="2"/>
      <c r="J387" s="2"/>
      <c r="K387" s="2"/>
      <c r="L387" s="2"/>
    </row>
    <row r="388" spans="1:12" ht="15.75" customHeight="1" x14ac:dyDescent="0.2">
      <c r="A388" s="2"/>
      <c r="B388" s="2"/>
      <c r="C388" s="2"/>
      <c r="D388" s="2"/>
      <c r="E388" s="2"/>
      <c r="F388" s="2"/>
      <c r="G388" s="2"/>
      <c r="H388" s="2"/>
      <c r="I388" s="2"/>
      <c r="J388" s="2"/>
      <c r="K388" s="2"/>
      <c r="L388" s="2"/>
    </row>
    <row r="389" spans="1:12" ht="15.75" customHeight="1" x14ac:dyDescent="0.2">
      <c r="A389" s="2"/>
      <c r="B389" s="2"/>
      <c r="C389" s="2"/>
      <c r="D389" s="2"/>
      <c r="E389" s="2"/>
      <c r="F389" s="2"/>
      <c r="G389" s="2"/>
      <c r="H389" s="2"/>
      <c r="I389" s="2"/>
      <c r="J389" s="2"/>
      <c r="K389" s="2"/>
      <c r="L389" s="2"/>
    </row>
    <row r="390" spans="1:12" ht="15.75" customHeight="1" x14ac:dyDescent="0.2">
      <c r="A390" s="2"/>
      <c r="B390" s="2"/>
      <c r="C390" s="2"/>
      <c r="D390" s="2"/>
      <c r="E390" s="2"/>
      <c r="F390" s="2"/>
      <c r="G390" s="2"/>
      <c r="H390" s="2"/>
      <c r="I390" s="2"/>
      <c r="J390" s="2"/>
      <c r="K390" s="2"/>
      <c r="L390" s="2"/>
    </row>
    <row r="391" spans="1:12" ht="15.75" customHeight="1" x14ac:dyDescent="0.2">
      <c r="A391" s="2"/>
      <c r="B391" s="2"/>
      <c r="C391" s="2"/>
      <c r="D391" s="2"/>
      <c r="E391" s="2"/>
      <c r="F391" s="2"/>
      <c r="G391" s="2"/>
      <c r="H391" s="2"/>
      <c r="I391" s="2"/>
      <c r="J391" s="2"/>
      <c r="K391" s="2"/>
      <c r="L391" s="2"/>
    </row>
    <row r="392" spans="1:12" ht="15.75" customHeight="1" x14ac:dyDescent="0.2">
      <c r="A392" s="2"/>
      <c r="B392" s="2"/>
      <c r="C392" s="2"/>
      <c r="D392" s="2"/>
      <c r="E392" s="2"/>
      <c r="F392" s="2"/>
      <c r="G392" s="2"/>
      <c r="H392" s="2"/>
      <c r="I392" s="2"/>
      <c r="J392" s="2"/>
      <c r="K392" s="2"/>
      <c r="L392" s="2"/>
    </row>
    <row r="393" spans="1:12" ht="15.75" customHeight="1" x14ac:dyDescent="0.2">
      <c r="A393" s="2"/>
      <c r="B393" s="2"/>
      <c r="C393" s="2"/>
      <c r="D393" s="2"/>
      <c r="E393" s="2"/>
      <c r="F393" s="2"/>
      <c r="G393" s="2"/>
      <c r="H393" s="2"/>
      <c r="I393" s="2"/>
      <c r="J393" s="2"/>
      <c r="K393" s="2"/>
      <c r="L393" s="2"/>
    </row>
    <row r="394" spans="1:12" ht="15.75" customHeight="1" x14ac:dyDescent="0.2">
      <c r="A394" s="2"/>
      <c r="B394" s="2"/>
      <c r="C394" s="2"/>
      <c r="D394" s="2"/>
      <c r="E394" s="2"/>
      <c r="F394" s="2"/>
      <c r="G394" s="2"/>
      <c r="H394" s="2"/>
      <c r="I394" s="2"/>
      <c r="J394" s="2"/>
      <c r="K394" s="2"/>
      <c r="L394" s="2"/>
    </row>
    <row r="395" spans="1:12" ht="15.75" customHeight="1" x14ac:dyDescent="0.2">
      <c r="A395" s="2"/>
      <c r="B395" s="2"/>
      <c r="C395" s="2"/>
      <c r="D395" s="2"/>
      <c r="E395" s="2"/>
      <c r="F395" s="2"/>
      <c r="G395" s="2"/>
      <c r="H395" s="2"/>
      <c r="I395" s="2"/>
      <c r="J395" s="2"/>
      <c r="K395" s="2"/>
      <c r="L395" s="2"/>
    </row>
    <row r="396" spans="1:12" ht="15.75" customHeight="1" x14ac:dyDescent="0.2">
      <c r="A396" s="2"/>
      <c r="B396" s="2"/>
      <c r="C396" s="2"/>
      <c r="D396" s="2"/>
      <c r="E396" s="2"/>
      <c r="F396" s="2"/>
      <c r="G396" s="2"/>
      <c r="H396" s="2"/>
      <c r="I396" s="2"/>
      <c r="J396" s="2"/>
      <c r="K396" s="2"/>
      <c r="L396" s="2"/>
    </row>
    <row r="397" spans="1:12" ht="15.75" customHeight="1" x14ac:dyDescent="0.2">
      <c r="A397" s="2"/>
      <c r="B397" s="2"/>
      <c r="C397" s="2"/>
      <c r="D397" s="2"/>
      <c r="E397" s="2"/>
      <c r="F397" s="2"/>
      <c r="G397" s="2"/>
      <c r="H397" s="2"/>
      <c r="I397" s="2"/>
      <c r="J397" s="2"/>
      <c r="K397" s="2"/>
      <c r="L397" s="2"/>
    </row>
    <row r="398" spans="1:12" ht="15.75" customHeight="1" x14ac:dyDescent="0.2">
      <c r="A398" s="2"/>
      <c r="B398" s="2"/>
      <c r="C398" s="2"/>
      <c r="D398" s="2"/>
      <c r="E398" s="2"/>
      <c r="F398" s="2"/>
      <c r="G398" s="2"/>
      <c r="H398" s="2"/>
      <c r="I398" s="2"/>
      <c r="J398" s="2"/>
      <c r="K398" s="2"/>
      <c r="L398" s="2"/>
    </row>
    <row r="399" spans="1:12" ht="15.75" customHeight="1" x14ac:dyDescent="0.2">
      <c r="A399" s="2"/>
      <c r="B399" s="2"/>
      <c r="C399" s="2"/>
      <c r="D399" s="2"/>
      <c r="E399" s="2"/>
      <c r="F399" s="2"/>
      <c r="G399" s="2"/>
      <c r="H399" s="2"/>
      <c r="I399" s="2"/>
      <c r="J399" s="2"/>
      <c r="K399" s="2"/>
      <c r="L399" s="2"/>
    </row>
    <row r="400" spans="1:12" ht="15.75" customHeight="1" x14ac:dyDescent="0.2">
      <c r="A400" s="2"/>
      <c r="B400" s="2"/>
      <c r="C400" s="2"/>
      <c r="D400" s="2"/>
      <c r="E400" s="2"/>
      <c r="F400" s="2"/>
      <c r="G400" s="2"/>
      <c r="H400" s="2"/>
      <c r="I400" s="2"/>
      <c r="J400" s="2"/>
      <c r="K400" s="2"/>
      <c r="L400" s="2"/>
    </row>
    <row r="401" spans="1:12" ht="15.75" customHeight="1" x14ac:dyDescent="0.2">
      <c r="A401" s="2"/>
      <c r="B401" s="2"/>
      <c r="C401" s="2"/>
      <c r="D401" s="2"/>
      <c r="E401" s="2"/>
      <c r="F401" s="2"/>
      <c r="G401" s="2"/>
      <c r="H401" s="2"/>
      <c r="I401" s="2"/>
      <c r="J401" s="2"/>
      <c r="K401" s="2"/>
      <c r="L401" s="2"/>
    </row>
    <row r="402" spans="1:12" ht="15.75" customHeight="1" x14ac:dyDescent="0.2">
      <c r="A402" s="2"/>
      <c r="B402" s="2"/>
      <c r="C402" s="2"/>
      <c r="D402" s="2"/>
      <c r="E402" s="2"/>
      <c r="F402" s="2"/>
      <c r="G402" s="2"/>
      <c r="H402" s="2"/>
      <c r="I402" s="2"/>
      <c r="J402" s="2"/>
      <c r="K402" s="2"/>
      <c r="L402" s="2"/>
    </row>
    <row r="403" spans="1:12" ht="15.75" customHeight="1" x14ac:dyDescent="0.2">
      <c r="A403" s="2"/>
      <c r="B403" s="2"/>
      <c r="C403" s="2"/>
      <c r="D403" s="2"/>
      <c r="E403" s="2"/>
      <c r="F403" s="2"/>
      <c r="G403" s="2"/>
      <c r="H403" s="2"/>
      <c r="I403" s="2"/>
      <c r="J403" s="2"/>
      <c r="K403" s="2"/>
      <c r="L403" s="2"/>
    </row>
    <row r="404" spans="1:12" ht="15.75" customHeight="1" x14ac:dyDescent="0.2">
      <c r="A404" s="2"/>
      <c r="B404" s="2"/>
      <c r="C404" s="2"/>
      <c r="D404" s="2"/>
      <c r="E404" s="2"/>
      <c r="F404" s="2"/>
      <c r="G404" s="2"/>
      <c r="H404" s="2"/>
      <c r="I404" s="2"/>
      <c r="J404" s="2"/>
      <c r="K404" s="2"/>
      <c r="L404" s="2"/>
    </row>
    <row r="405" spans="1:12" ht="15.75" customHeight="1" x14ac:dyDescent="0.2">
      <c r="A405" s="2"/>
      <c r="B405" s="2"/>
      <c r="C405" s="2"/>
      <c r="D405" s="2"/>
      <c r="E405" s="2"/>
      <c r="F405" s="2"/>
      <c r="G405" s="2"/>
      <c r="H405" s="2"/>
      <c r="I405" s="2"/>
      <c r="J405" s="2"/>
      <c r="K405" s="2"/>
      <c r="L405" s="2"/>
    </row>
    <row r="406" spans="1:12" ht="15.75" customHeight="1" x14ac:dyDescent="0.2">
      <c r="A406" s="2"/>
      <c r="B406" s="2"/>
      <c r="C406" s="2"/>
      <c r="D406" s="2"/>
      <c r="E406" s="2"/>
      <c r="F406" s="2"/>
      <c r="G406" s="2"/>
      <c r="H406" s="2"/>
      <c r="I406" s="2"/>
      <c r="J406" s="2"/>
      <c r="K406" s="2"/>
      <c r="L406" s="2"/>
    </row>
    <row r="407" spans="1:12" ht="15.75" customHeight="1" x14ac:dyDescent="0.2">
      <c r="A407" s="2"/>
      <c r="B407" s="2"/>
      <c r="C407" s="2"/>
      <c r="D407" s="2"/>
      <c r="E407" s="2"/>
      <c r="F407" s="2"/>
      <c r="G407" s="2"/>
      <c r="H407" s="2"/>
      <c r="I407" s="2"/>
      <c r="J407" s="2"/>
      <c r="K407" s="2"/>
      <c r="L407" s="2"/>
    </row>
    <row r="408" spans="1:12" ht="15.75" customHeight="1" x14ac:dyDescent="0.2">
      <c r="A408" s="2"/>
      <c r="B408" s="2"/>
      <c r="C408" s="2"/>
      <c r="D408" s="2"/>
      <c r="E408" s="2"/>
      <c r="F408" s="2"/>
      <c r="G408" s="2"/>
      <c r="H408" s="2"/>
      <c r="I408" s="2"/>
      <c r="J408" s="2"/>
      <c r="K408" s="2"/>
      <c r="L408" s="2"/>
    </row>
    <row r="409" spans="1:12" ht="15.75" customHeight="1" x14ac:dyDescent="0.2">
      <c r="A409" s="2"/>
      <c r="B409" s="2"/>
      <c r="C409" s="2"/>
      <c r="D409" s="2"/>
      <c r="E409" s="2"/>
      <c r="F409" s="2"/>
      <c r="G409" s="2"/>
      <c r="H409" s="2"/>
      <c r="I409" s="2"/>
      <c r="J409" s="2"/>
      <c r="K409" s="2"/>
      <c r="L409" s="2"/>
    </row>
    <row r="410" spans="1:12" ht="15.75" customHeight="1" x14ac:dyDescent="0.2">
      <c r="A410" s="2"/>
      <c r="B410" s="2"/>
      <c r="C410" s="2"/>
      <c r="D410" s="2"/>
      <c r="E410" s="2"/>
      <c r="F410" s="2"/>
      <c r="G410" s="2"/>
      <c r="H410" s="2"/>
      <c r="I410" s="2"/>
      <c r="J410" s="2"/>
      <c r="K410" s="2"/>
      <c r="L410" s="2"/>
    </row>
    <row r="411" spans="1:12" ht="15.75" customHeight="1" x14ac:dyDescent="0.2">
      <c r="A411" s="2"/>
      <c r="B411" s="2"/>
      <c r="C411" s="2"/>
      <c r="D411" s="2"/>
      <c r="E411" s="2"/>
      <c r="F411" s="2"/>
      <c r="G411" s="2"/>
      <c r="H411" s="2"/>
      <c r="I411" s="2"/>
      <c r="J411" s="2"/>
      <c r="K411" s="2"/>
      <c r="L411" s="2"/>
    </row>
    <row r="412" spans="1:12" ht="15.75" customHeight="1" x14ac:dyDescent="0.2">
      <c r="A412" s="2"/>
      <c r="B412" s="2"/>
      <c r="C412" s="2"/>
      <c r="D412" s="2"/>
      <c r="E412" s="2"/>
      <c r="F412" s="2"/>
      <c r="G412" s="2"/>
      <c r="H412" s="2"/>
      <c r="I412" s="2"/>
      <c r="J412" s="2"/>
      <c r="K412" s="2"/>
      <c r="L412" s="2"/>
    </row>
    <row r="413" spans="1:12" ht="15.75" customHeight="1" x14ac:dyDescent="0.2">
      <c r="A413" s="2"/>
      <c r="B413" s="2"/>
      <c r="C413" s="2"/>
      <c r="D413" s="2"/>
      <c r="E413" s="2"/>
      <c r="F413" s="2"/>
      <c r="G413" s="2"/>
      <c r="H413" s="2"/>
      <c r="I413" s="2"/>
      <c r="J413" s="2"/>
      <c r="K413" s="2"/>
      <c r="L413" s="2"/>
    </row>
    <row r="414" spans="1:12" ht="15.75" customHeight="1" x14ac:dyDescent="0.2">
      <c r="A414" s="2"/>
      <c r="B414" s="2"/>
      <c r="C414" s="2"/>
      <c r="D414" s="2"/>
      <c r="E414" s="2"/>
      <c r="F414" s="2"/>
      <c r="G414" s="2"/>
      <c r="H414" s="2"/>
      <c r="I414" s="2"/>
      <c r="J414" s="2"/>
      <c r="K414" s="2"/>
      <c r="L414" s="2"/>
    </row>
    <row r="415" spans="1:12" ht="15.75" customHeight="1" x14ac:dyDescent="0.2">
      <c r="A415" s="2"/>
      <c r="B415" s="2"/>
      <c r="C415" s="2"/>
      <c r="D415" s="2"/>
      <c r="E415" s="2"/>
      <c r="F415" s="2"/>
      <c r="G415" s="2"/>
      <c r="H415" s="2"/>
      <c r="I415" s="2"/>
      <c r="J415" s="2"/>
      <c r="K415" s="2"/>
      <c r="L415" s="2"/>
    </row>
    <row r="416" spans="1:12" ht="15.75" customHeight="1" x14ac:dyDescent="0.2">
      <c r="A416" s="2"/>
      <c r="B416" s="2"/>
      <c r="C416" s="2"/>
      <c r="D416" s="2"/>
      <c r="E416" s="2"/>
      <c r="F416" s="2"/>
      <c r="G416" s="2"/>
      <c r="H416" s="2"/>
      <c r="I416" s="2"/>
      <c r="J416" s="2"/>
      <c r="K416" s="2"/>
      <c r="L416" s="2"/>
    </row>
    <row r="417" spans="1:12" ht="15.75" customHeight="1" x14ac:dyDescent="0.2">
      <c r="A417" s="2"/>
      <c r="B417" s="2"/>
      <c r="C417" s="2"/>
      <c r="D417" s="2"/>
      <c r="E417" s="2"/>
      <c r="F417" s="2"/>
      <c r="G417" s="2"/>
      <c r="H417" s="2"/>
      <c r="I417" s="2"/>
      <c r="J417" s="2"/>
      <c r="K417" s="2"/>
      <c r="L417" s="2"/>
    </row>
    <row r="418" spans="1:12" ht="15.75" customHeight="1" x14ac:dyDescent="0.2">
      <c r="A418" s="2"/>
      <c r="B418" s="2"/>
      <c r="C418" s="2"/>
      <c r="D418" s="2"/>
      <c r="E418" s="2"/>
      <c r="F418" s="2"/>
      <c r="G418" s="2"/>
      <c r="H418" s="2"/>
      <c r="I418" s="2"/>
      <c r="J418" s="2"/>
      <c r="K418" s="2"/>
      <c r="L418" s="2"/>
    </row>
    <row r="419" spans="1:12" ht="15.75" customHeight="1" x14ac:dyDescent="0.2">
      <c r="A419" s="2"/>
      <c r="B419" s="2"/>
      <c r="C419" s="2"/>
      <c r="D419" s="2"/>
      <c r="E419" s="2"/>
      <c r="F419" s="2"/>
      <c r="G419" s="2"/>
      <c r="H419" s="2"/>
      <c r="I419" s="2"/>
      <c r="J419" s="2"/>
      <c r="K419" s="2"/>
      <c r="L419" s="2"/>
    </row>
    <row r="420" spans="1:12" ht="15.75" customHeight="1" x14ac:dyDescent="0.2">
      <c r="A420" s="2"/>
      <c r="B420" s="2"/>
      <c r="C420" s="2"/>
      <c r="D420" s="2"/>
      <c r="E420" s="2"/>
      <c r="F420" s="2"/>
      <c r="G420" s="2"/>
      <c r="H420" s="2"/>
      <c r="I420" s="2"/>
      <c r="J420" s="2"/>
      <c r="K420" s="2"/>
      <c r="L420" s="2"/>
    </row>
    <row r="421" spans="1:12" ht="15.75" customHeight="1" x14ac:dyDescent="0.2">
      <c r="A421" s="2"/>
      <c r="B421" s="2"/>
      <c r="C421" s="2"/>
      <c r="D421" s="2"/>
      <c r="E421" s="2"/>
      <c r="F421" s="2"/>
      <c r="G421" s="2"/>
      <c r="H421" s="2"/>
      <c r="I421" s="2"/>
      <c r="J421" s="2"/>
      <c r="K421" s="2"/>
      <c r="L421" s="2"/>
    </row>
    <row r="422" spans="1:12" ht="15.75" customHeight="1" x14ac:dyDescent="0.2">
      <c r="A422" s="2"/>
      <c r="B422" s="2"/>
      <c r="C422" s="2"/>
      <c r="D422" s="2"/>
      <c r="E422" s="2"/>
      <c r="F422" s="2"/>
      <c r="G422" s="2"/>
      <c r="H422" s="2"/>
      <c r="I422" s="2"/>
      <c r="J422" s="2"/>
      <c r="K422" s="2"/>
      <c r="L422" s="2"/>
    </row>
    <row r="423" spans="1:12" ht="15.75" customHeight="1" x14ac:dyDescent="0.2">
      <c r="A423" s="2"/>
      <c r="B423" s="2"/>
      <c r="C423" s="2"/>
      <c r="D423" s="2"/>
      <c r="E423" s="2"/>
      <c r="F423" s="2"/>
      <c r="G423" s="2"/>
      <c r="H423" s="2"/>
      <c r="I423" s="2"/>
      <c r="J423" s="2"/>
      <c r="K423" s="2"/>
      <c r="L423" s="2"/>
    </row>
    <row r="424" spans="1:12" ht="15.75" customHeight="1" x14ac:dyDescent="0.2">
      <c r="A424" s="2"/>
      <c r="B424" s="2"/>
      <c r="C424" s="2"/>
      <c r="D424" s="2"/>
      <c r="E424" s="2"/>
      <c r="F424" s="2"/>
      <c r="G424" s="2"/>
      <c r="H424" s="2"/>
      <c r="I424" s="2"/>
      <c r="J424" s="2"/>
      <c r="K424" s="2"/>
      <c r="L424" s="2"/>
    </row>
    <row r="425" spans="1:12" ht="15.75" customHeight="1" x14ac:dyDescent="0.2">
      <c r="A425" s="2"/>
      <c r="B425" s="2"/>
      <c r="C425" s="2"/>
      <c r="D425" s="2"/>
      <c r="E425" s="2"/>
      <c r="F425" s="2"/>
      <c r="G425" s="2"/>
      <c r="H425" s="2"/>
      <c r="I425" s="2"/>
      <c r="J425" s="2"/>
      <c r="K425" s="2"/>
      <c r="L425" s="2"/>
    </row>
    <row r="426" spans="1:12" ht="15.75" customHeight="1" x14ac:dyDescent="0.2">
      <c r="A426" s="2"/>
      <c r="B426" s="2"/>
      <c r="C426" s="2"/>
      <c r="D426" s="2"/>
      <c r="E426" s="2"/>
      <c r="F426" s="2"/>
      <c r="G426" s="2"/>
      <c r="H426" s="2"/>
      <c r="I426" s="2"/>
      <c r="J426" s="2"/>
      <c r="K426" s="2"/>
      <c r="L426" s="2"/>
    </row>
    <row r="427" spans="1:12" ht="15.75" customHeight="1" x14ac:dyDescent="0.2">
      <c r="A427" s="2"/>
      <c r="B427" s="2"/>
      <c r="C427" s="2"/>
      <c r="D427" s="2"/>
      <c r="E427" s="2"/>
      <c r="F427" s="2"/>
      <c r="G427" s="2"/>
      <c r="H427" s="2"/>
      <c r="I427" s="2"/>
      <c r="J427" s="2"/>
      <c r="K427" s="2"/>
      <c r="L427" s="2"/>
    </row>
    <row r="428" spans="1:12" ht="15.75" customHeight="1" x14ac:dyDescent="0.2">
      <c r="A428" s="2"/>
      <c r="B428" s="2"/>
      <c r="C428" s="2"/>
      <c r="D428" s="2"/>
      <c r="E428" s="2"/>
      <c r="F428" s="2"/>
      <c r="G428" s="2"/>
      <c r="H428" s="2"/>
      <c r="I428" s="2"/>
      <c r="J428" s="2"/>
      <c r="K428" s="2"/>
      <c r="L428" s="2"/>
    </row>
    <row r="429" spans="1:12" ht="15.75" customHeight="1" x14ac:dyDescent="0.2">
      <c r="A429" s="2"/>
      <c r="B429" s="2"/>
      <c r="C429" s="2"/>
      <c r="D429" s="2"/>
      <c r="E429" s="2"/>
      <c r="F429" s="2"/>
      <c r="G429" s="2"/>
      <c r="H429" s="2"/>
      <c r="I429" s="2"/>
      <c r="J429" s="2"/>
      <c r="K429" s="2"/>
      <c r="L429" s="2"/>
    </row>
    <row r="430" spans="1:12" ht="15.75" customHeight="1" x14ac:dyDescent="0.2">
      <c r="A430" s="2"/>
      <c r="B430" s="2"/>
      <c r="C430" s="2"/>
      <c r="D430" s="2"/>
      <c r="E430" s="2"/>
      <c r="F430" s="2"/>
      <c r="G430" s="2"/>
      <c r="H430" s="2"/>
      <c r="I430" s="2"/>
      <c r="J430" s="2"/>
      <c r="K430" s="2"/>
      <c r="L430" s="2"/>
    </row>
    <row r="431" spans="1:12" ht="15.75" customHeight="1" x14ac:dyDescent="0.2">
      <c r="A431" s="2"/>
      <c r="B431" s="2"/>
      <c r="C431" s="2"/>
      <c r="D431" s="2"/>
      <c r="E431" s="2"/>
      <c r="F431" s="2"/>
      <c r="G431" s="2"/>
      <c r="H431" s="2"/>
      <c r="I431" s="2"/>
      <c r="J431" s="2"/>
      <c r="K431" s="2"/>
      <c r="L431" s="2"/>
    </row>
    <row r="432" spans="1:12" ht="15.75" customHeight="1" x14ac:dyDescent="0.2">
      <c r="A432" s="2"/>
      <c r="B432" s="2"/>
      <c r="C432" s="2"/>
      <c r="D432" s="2"/>
      <c r="E432" s="2"/>
      <c r="F432" s="2"/>
      <c r="G432" s="2"/>
      <c r="H432" s="2"/>
      <c r="I432" s="2"/>
      <c r="J432" s="2"/>
      <c r="K432" s="2"/>
      <c r="L432" s="2"/>
    </row>
    <row r="433" spans="1:12" ht="15.75" customHeight="1" x14ac:dyDescent="0.2">
      <c r="A433" s="2"/>
      <c r="B433" s="2"/>
      <c r="C433" s="2"/>
      <c r="D433" s="2"/>
      <c r="E433" s="2"/>
      <c r="F433" s="2"/>
      <c r="G433" s="2"/>
      <c r="H433" s="2"/>
      <c r="I433" s="2"/>
      <c r="J433" s="2"/>
      <c r="K433" s="2"/>
      <c r="L433" s="2"/>
    </row>
    <row r="434" spans="1:12" ht="15.75" customHeight="1" x14ac:dyDescent="0.2">
      <c r="A434" s="2"/>
      <c r="B434" s="2"/>
      <c r="C434" s="2"/>
      <c r="D434" s="2"/>
      <c r="E434" s="2"/>
      <c r="F434" s="2"/>
      <c r="G434" s="2"/>
      <c r="H434" s="2"/>
      <c r="I434" s="2"/>
      <c r="J434" s="2"/>
      <c r="K434" s="2"/>
      <c r="L434" s="2"/>
    </row>
    <row r="435" spans="1:12" ht="15.75" customHeight="1" x14ac:dyDescent="0.2">
      <c r="A435" s="2"/>
      <c r="B435" s="2"/>
      <c r="C435" s="2"/>
      <c r="D435" s="2"/>
      <c r="E435" s="2"/>
      <c r="F435" s="2"/>
      <c r="G435" s="2"/>
      <c r="H435" s="2"/>
      <c r="I435" s="2"/>
      <c r="J435" s="2"/>
      <c r="K435" s="2"/>
      <c r="L435" s="2"/>
    </row>
    <row r="436" spans="1:12" ht="15.75" customHeight="1" x14ac:dyDescent="0.2">
      <c r="A436" s="2"/>
      <c r="B436" s="2"/>
      <c r="C436" s="2"/>
      <c r="D436" s="2"/>
      <c r="E436" s="2"/>
      <c r="F436" s="2"/>
      <c r="G436" s="2"/>
      <c r="H436" s="2"/>
      <c r="I436" s="2"/>
      <c r="J436" s="2"/>
      <c r="K436" s="2"/>
      <c r="L436" s="2"/>
    </row>
    <row r="437" spans="1:12" ht="15.75" customHeight="1" x14ac:dyDescent="0.2">
      <c r="A437" s="2"/>
      <c r="B437" s="2"/>
      <c r="C437" s="2"/>
      <c r="D437" s="2"/>
      <c r="E437" s="2"/>
      <c r="F437" s="2"/>
      <c r="G437" s="2"/>
      <c r="H437" s="2"/>
      <c r="I437" s="2"/>
      <c r="J437" s="2"/>
      <c r="K437" s="2"/>
      <c r="L437" s="2"/>
    </row>
    <row r="438" spans="1:12" ht="15.75" customHeight="1" x14ac:dyDescent="0.2">
      <c r="A438" s="2"/>
      <c r="B438" s="2"/>
      <c r="C438" s="2"/>
      <c r="D438" s="2"/>
      <c r="E438" s="2"/>
      <c r="F438" s="2"/>
      <c r="G438" s="2"/>
      <c r="H438" s="2"/>
      <c r="I438" s="2"/>
      <c r="J438" s="2"/>
      <c r="K438" s="2"/>
      <c r="L438" s="2"/>
    </row>
    <row r="439" spans="1:12" ht="15.75" customHeight="1" x14ac:dyDescent="0.2">
      <c r="A439" s="2"/>
      <c r="B439" s="2"/>
      <c r="C439" s="2"/>
      <c r="D439" s="2"/>
      <c r="E439" s="2"/>
      <c r="F439" s="2"/>
      <c r="G439" s="2"/>
      <c r="H439" s="2"/>
      <c r="I439" s="2"/>
      <c r="J439" s="2"/>
      <c r="K439" s="2"/>
      <c r="L439" s="2"/>
    </row>
    <row r="440" spans="1:12" ht="15.75" customHeight="1" x14ac:dyDescent="0.2">
      <c r="A440" s="2"/>
      <c r="B440" s="2"/>
      <c r="C440" s="2"/>
      <c r="D440" s="2"/>
      <c r="E440" s="2"/>
      <c r="F440" s="2"/>
      <c r="G440" s="2"/>
      <c r="H440" s="2"/>
      <c r="I440" s="2"/>
      <c r="J440" s="2"/>
      <c r="K440" s="2"/>
      <c r="L440" s="2"/>
    </row>
    <row r="441" spans="1:12" ht="15.75" customHeight="1" x14ac:dyDescent="0.2">
      <c r="A441" s="2"/>
      <c r="B441" s="2"/>
      <c r="C441" s="2"/>
      <c r="D441" s="2"/>
      <c r="E441" s="2"/>
      <c r="F441" s="2"/>
      <c r="G441" s="2"/>
      <c r="H441" s="2"/>
      <c r="I441" s="2"/>
      <c r="J441" s="2"/>
      <c r="K441" s="2"/>
      <c r="L441" s="2"/>
    </row>
    <row r="442" spans="1:12" ht="15.75" customHeight="1" x14ac:dyDescent="0.2">
      <c r="A442" s="2"/>
      <c r="B442" s="2"/>
      <c r="C442" s="2"/>
      <c r="D442" s="2"/>
      <c r="E442" s="2"/>
      <c r="F442" s="2"/>
      <c r="G442" s="2"/>
      <c r="H442" s="2"/>
      <c r="I442" s="2"/>
      <c r="J442" s="2"/>
      <c r="K442" s="2"/>
      <c r="L442" s="2"/>
    </row>
    <row r="443" spans="1:12" ht="15.75" customHeight="1" x14ac:dyDescent="0.2">
      <c r="A443" s="2"/>
      <c r="B443" s="2"/>
      <c r="C443" s="2"/>
      <c r="D443" s="2"/>
      <c r="E443" s="2"/>
      <c r="F443" s="2"/>
      <c r="G443" s="2"/>
      <c r="H443" s="2"/>
      <c r="I443" s="2"/>
      <c r="J443" s="2"/>
      <c r="K443" s="2"/>
      <c r="L443" s="2"/>
    </row>
    <row r="444" spans="1:12" ht="15.75" customHeight="1" x14ac:dyDescent="0.2">
      <c r="A444" s="2"/>
      <c r="B444" s="2"/>
      <c r="C444" s="2"/>
      <c r="D444" s="2"/>
      <c r="E444" s="2"/>
      <c r="F444" s="2"/>
      <c r="G444" s="2"/>
      <c r="H444" s="2"/>
      <c r="I444" s="2"/>
      <c r="J444" s="2"/>
      <c r="K444" s="2"/>
      <c r="L444" s="2"/>
    </row>
    <row r="445" spans="1:12" ht="15.75" customHeight="1" x14ac:dyDescent="0.2">
      <c r="A445" s="2"/>
      <c r="B445" s="2"/>
      <c r="C445" s="2"/>
      <c r="D445" s="2"/>
      <c r="E445" s="2"/>
      <c r="F445" s="2"/>
      <c r="G445" s="2"/>
      <c r="H445" s="2"/>
      <c r="I445" s="2"/>
      <c r="J445" s="2"/>
      <c r="K445" s="2"/>
      <c r="L445" s="2"/>
    </row>
    <row r="446" spans="1:12" ht="15.75" customHeight="1" x14ac:dyDescent="0.2">
      <c r="A446" s="2"/>
      <c r="B446" s="2"/>
      <c r="C446" s="2"/>
      <c r="D446" s="2"/>
      <c r="E446" s="2"/>
      <c r="F446" s="2"/>
      <c r="G446" s="2"/>
      <c r="H446" s="2"/>
      <c r="I446" s="2"/>
      <c r="J446" s="2"/>
      <c r="K446" s="2"/>
      <c r="L446" s="2"/>
    </row>
    <row r="447" spans="1:12" ht="15.75" customHeight="1" x14ac:dyDescent="0.2">
      <c r="A447" s="2"/>
      <c r="B447" s="2"/>
      <c r="C447" s="2"/>
      <c r="D447" s="2"/>
      <c r="E447" s="2"/>
      <c r="F447" s="2"/>
      <c r="G447" s="2"/>
      <c r="H447" s="2"/>
      <c r="I447" s="2"/>
      <c r="J447" s="2"/>
      <c r="K447" s="2"/>
      <c r="L447" s="2"/>
    </row>
    <row r="448" spans="1:12" ht="15.75" customHeight="1" x14ac:dyDescent="0.2">
      <c r="A448" s="2"/>
      <c r="B448" s="2"/>
      <c r="C448" s="2"/>
      <c r="D448" s="2"/>
      <c r="E448" s="2"/>
      <c r="F448" s="2"/>
      <c r="G448" s="2"/>
      <c r="H448" s="2"/>
      <c r="I448" s="2"/>
      <c r="J448" s="2"/>
      <c r="K448" s="2"/>
      <c r="L448" s="2"/>
    </row>
    <row r="449" spans="1:12" ht="15.75" customHeight="1" x14ac:dyDescent="0.2">
      <c r="A449" s="2"/>
      <c r="B449" s="2"/>
      <c r="C449" s="2"/>
      <c r="D449" s="2"/>
      <c r="E449" s="2"/>
      <c r="F449" s="2"/>
      <c r="G449" s="2"/>
      <c r="H449" s="2"/>
      <c r="I449" s="2"/>
      <c r="J449" s="2"/>
      <c r="K449" s="2"/>
      <c r="L449" s="2"/>
    </row>
    <row r="450" spans="1:12" ht="15.75" customHeight="1" x14ac:dyDescent="0.2">
      <c r="A450" s="2"/>
      <c r="B450" s="2"/>
      <c r="C450" s="2"/>
      <c r="D450" s="2"/>
      <c r="E450" s="2"/>
      <c r="F450" s="2"/>
      <c r="G450" s="2"/>
      <c r="H450" s="2"/>
      <c r="I450" s="2"/>
      <c r="J450" s="2"/>
      <c r="K450" s="2"/>
      <c r="L450" s="2"/>
    </row>
    <row r="451" spans="1:12" ht="15.75" customHeight="1" x14ac:dyDescent="0.2">
      <c r="A451" s="2"/>
      <c r="B451" s="2"/>
      <c r="C451" s="2"/>
      <c r="D451" s="2"/>
      <c r="E451" s="2"/>
      <c r="F451" s="2"/>
      <c r="G451" s="2"/>
      <c r="H451" s="2"/>
      <c r="I451" s="2"/>
      <c r="J451" s="2"/>
      <c r="K451" s="2"/>
      <c r="L451" s="2"/>
    </row>
    <row r="452" spans="1:12" ht="15.75" customHeight="1" x14ac:dyDescent="0.2">
      <c r="A452" s="2"/>
      <c r="B452" s="2"/>
      <c r="C452" s="2"/>
      <c r="D452" s="2"/>
      <c r="E452" s="2"/>
      <c r="F452" s="2"/>
      <c r="G452" s="2"/>
      <c r="H452" s="2"/>
      <c r="I452" s="2"/>
      <c r="J452" s="2"/>
      <c r="K452" s="2"/>
      <c r="L452" s="2"/>
    </row>
    <row r="453" spans="1:12" ht="15.75" customHeight="1" x14ac:dyDescent="0.2">
      <c r="A453" s="2"/>
      <c r="B453" s="2"/>
      <c r="C453" s="2"/>
      <c r="D453" s="2"/>
      <c r="E453" s="2"/>
      <c r="F453" s="2"/>
      <c r="G453" s="2"/>
      <c r="H453" s="2"/>
      <c r="I453" s="2"/>
      <c r="J453" s="2"/>
      <c r="K453" s="2"/>
      <c r="L453" s="2"/>
    </row>
    <row r="454" spans="1:12" ht="15.75" customHeight="1" x14ac:dyDescent="0.2">
      <c r="A454" s="2"/>
      <c r="B454" s="2"/>
      <c r="C454" s="2"/>
      <c r="D454" s="2"/>
      <c r="E454" s="2"/>
      <c r="F454" s="2"/>
      <c r="G454" s="2"/>
      <c r="H454" s="2"/>
      <c r="I454" s="2"/>
      <c r="J454" s="2"/>
      <c r="K454" s="2"/>
      <c r="L454" s="2"/>
    </row>
    <row r="455" spans="1:12" ht="15.75" customHeight="1" x14ac:dyDescent="0.2">
      <c r="A455" s="2"/>
      <c r="B455" s="2"/>
      <c r="C455" s="2"/>
      <c r="D455" s="2"/>
      <c r="E455" s="2"/>
      <c r="F455" s="2"/>
      <c r="G455" s="2"/>
      <c r="H455" s="2"/>
      <c r="I455" s="2"/>
      <c r="J455" s="2"/>
      <c r="K455" s="2"/>
      <c r="L455" s="2"/>
    </row>
    <row r="456" spans="1:12" ht="15.75" customHeight="1" x14ac:dyDescent="0.2">
      <c r="A456" s="2"/>
      <c r="B456" s="2"/>
      <c r="C456" s="2"/>
      <c r="D456" s="2"/>
      <c r="E456" s="2"/>
      <c r="F456" s="2"/>
      <c r="G456" s="2"/>
      <c r="H456" s="2"/>
      <c r="I456" s="2"/>
      <c r="J456" s="2"/>
      <c r="K456" s="2"/>
      <c r="L456" s="2"/>
    </row>
    <row r="457" spans="1:12" ht="15.75" customHeight="1" x14ac:dyDescent="0.2">
      <c r="A457" s="2"/>
      <c r="B457" s="2"/>
      <c r="C457" s="2"/>
      <c r="D457" s="2"/>
      <c r="E457" s="2"/>
      <c r="F457" s="2"/>
      <c r="G457" s="2"/>
      <c r="H457" s="2"/>
      <c r="I457" s="2"/>
      <c r="J457" s="2"/>
      <c r="K457" s="2"/>
      <c r="L457" s="2"/>
    </row>
    <row r="458" spans="1:12" ht="15.75" customHeight="1" x14ac:dyDescent="0.2">
      <c r="A458" s="2"/>
      <c r="B458" s="2"/>
      <c r="C458" s="2"/>
      <c r="D458" s="2"/>
      <c r="E458" s="2"/>
      <c r="F458" s="2"/>
      <c r="G458" s="2"/>
      <c r="H458" s="2"/>
      <c r="I458" s="2"/>
      <c r="J458" s="2"/>
      <c r="K458" s="2"/>
      <c r="L458" s="2"/>
    </row>
    <row r="459" spans="1:12" ht="15.75" customHeight="1" x14ac:dyDescent="0.2">
      <c r="A459" s="2"/>
      <c r="B459" s="2"/>
      <c r="C459" s="2"/>
      <c r="D459" s="2"/>
      <c r="E459" s="2"/>
      <c r="F459" s="2"/>
      <c r="G459" s="2"/>
      <c r="H459" s="2"/>
      <c r="I459" s="2"/>
      <c r="J459" s="2"/>
      <c r="K459" s="2"/>
      <c r="L459" s="2"/>
    </row>
    <row r="460" spans="1:12" ht="15.75" customHeight="1" x14ac:dyDescent="0.2">
      <c r="A460" s="2"/>
      <c r="B460" s="2"/>
      <c r="C460" s="2"/>
      <c r="D460" s="2"/>
      <c r="E460" s="2"/>
      <c r="F460" s="2"/>
      <c r="G460" s="2"/>
      <c r="H460" s="2"/>
      <c r="I460" s="2"/>
      <c r="J460" s="2"/>
      <c r="K460" s="2"/>
      <c r="L460" s="2"/>
    </row>
    <row r="461" spans="1:12" ht="15.75" customHeight="1" x14ac:dyDescent="0.2">
      <c r="A461" s="2"/>
      <c r="B461" s="2"/>
      <c r="C461" s="2"/>
      <c r="D461" s="2"/>
      <c r="E461" s="2"/>
      <c r="F461" s="2"/>
      <c r="G461" s="2"/>
      <c r="H461" s="2"/>
      <c r="I461" s="2"/>
      <c r="J461" s="2"/>
      <c r="K461" s="2"/>
      <c r="L461" s="2"/>
    </row>
    <row r="462" spans="1:12" ht="15.75" customHeight="1" x14ac:dyDescent="0.2">
      <c r="A462" s="2"/>
      <c r="B462" s="2"/>
      <c r="C462" s="2"/>
      <c r="D462" s="2"/>
      <c r="E462" s="2"/>
      <c r="F462" s="2"/>
      <c r="G462" s="2"/>
      <c r="H462" s="2"/>
      <c r="I462" s="2"/>
      <c r="J462" s="2"/>
      <c r="K462" s="2"/>
      <c r="L462" s="2"/>
    </row>
    <row r="463" spans="1:12" ht="15.75" customHeight="1" x14ac:dyDescent="0.2">
      <c r="A463" s="2"/>
      <c r="B463" s="2"/>
      <c r="C463" s="2"/>
      <c r="D463" s="2"/>
      <c r="E463" s="2"/>
      <c r="F463" s="2"/>
      <c r="G463" s="2"/>
      <c r="H463" s="2"/>
      <c r="I463" s="2"/>
      <c r="J463" s="2"/>
      <c r="K463" s="2"/>
      <c r="L463" s="2"/>
    </row>
    <row r="464" spans="1:12" ht="15.75" customHeight="1" x14ac:dyDescent="0.2">
      <c r="A464" s="2"/>
      <c r="B464" s="2"/>
      <c r="C464" s="2"/>
      <c r="D464" s="2"/>
      <c r="E464" s="2"/>
      <c r="F464" s="2"/>
      <c r="G464" s="2"/>
      <c r="H464" s="2"/>
      <c r="I464" s="2"/>
      <c r="J464" s="2"/>
      <c r="K464" s="2"/>
      <c r="L464" s="2"/>
    </row>
    <row r="465" spans="1:12" ht="15.75" customHeight="1" x14ac:dyDescent="0.2">
      <c r="A465" s="2"/>
      <c r="B465" s="2"/>
      <c r="C465" s="2"/>
      <c r="D465" s="2"/>
      <c r="E465" s="2"/>
      <c r="F465" s="2"/>
      <c r="G465" s="2"/>
      <c r="H465" s="2"/>
      <c r="I465" s="2"/>
      <c r="J465" s="2"/>
      <c r="K465" s="2"/>
      <c r="L465" s="2"/>
    </row>
    <row r="466" spans="1:12" ht="15.75" customHeight="1" x14ac:dyDescent="0.2">
      <c r="A466" s="2"/>
      <c r="B466" s="2"/>
      <c r="C466" s="2"/>
      <c r="D466" s="2"/>
      <c r="E466" s="2"/>
      <c r="F466" s="2"/>
      <c r="G466" s="2"/>
      <c r="H466" s="2"/>
      <c r="I466" s="2"/>
      <c r="J466" s="2"/>
      <c r="K466" s="2"/>
      <c r="L466" s="2"/>
    </row>
    <row r="467" spans="1:12" ht="15.75" customHeight="1" x14ac:dyDescent="0.2">
      <c r="A467" s="2"/>
      <c r="B467" s="2"/>
      <c r="C467" s="2"/>
      <c r="D467" s="2"/>
      <c r="E467" s="2"/>
      <c r="F467" s="2"/>
      <c r="G467" s="2"/>
      <c r="H467" s="2"/>
      <c r="I467" s="2"/>
      <c r="J467" s="2"/>
      <c r="K467" s="2"/>
      <c r="L467" s="2"/>
    </row>
    <row r="468" spans="1:12" ht="15.75" customHeight="1" x14ac:dyDescent="0.2">
      <c r="A468" s="2"/>
      <c r="B468" s="2"/>
      <c r="C468" s="2"/>
      <c r="D468" s="2"/>
      <c r="E468" s="2"/>
      <c r="F468" s="2"/>
      <c r="G468" s="2"/>
      <c r="H468" s="2"/>
      <c r="I468" s="2"/>
      <c r="J468" s="2"/>
      <c r="K468" s="2"/>
      <c r="L468" s="2"/>
    </row>
    <row r="469" spans="1:12" ht="15.75" customHeight="1" x14ac:dyDescent="0.2">
      <c r="A469" s="2"/>
      <c r="B469" s="2"/>
      <c r="C469" s="2"/>
      <c r="D469" s="2"/>
      <c r="E469" s="2"/>
      <c r="F469" s="2"/>
      <c r="G469" s="2"/>
      <c r="H469" s="2"/>
      <c r="I469" s="2"/>
      <c r="J469" s="2"/>
      <c r="K469" s="2"/>
      <c r="L469" s="2"/>
    </row>
    <row r="470" spans="1:12" ht="15.75" customHeight="1" x14ac:dyDescent="0.2">
      <c r="A470" s="2"/>
      <c r="B470" s="2"/>
      <c r="C470" s="2"/>
      <c r="D470" s="2"/>
      <c r="E470" s="2"/>
      <c r="F470" s="2"/>
      <c r="G470" s="2"/>
      <c r="H470" s="2"/>
      <c r="I470" s="2"/>
      <c r="J470" s="2"/>
      <c r="K470" s="2"/>
      <c r="L470" s="2"/>
    </row>
    <row r="471" spans="1:12" ht="15.75" customHeight="1" x14ac:dyDescent="0.2">
      <c r="A471" s="2"/>
      <c r="B471" s="2"/>
      <c r="C471" s="2"/>
      <c r="D471" s="2"/>
      <c r="E471" s="2"/>
      <c r="F471" s="2"/>
      <c r="G471" s="2"/>
      <c r="H471" s="2"/>
      <c r="I471" s="2"/>
      <c r="J471" s="2"/>
      <c r="K471" s="2"/>
      <c r="L471" s="2"/>
    </row>
    <row r="472" spans="1:12" ht="15.75" customHeight="1" x14ac:dyDescent="0.2">
      <c r="A472" s="2"/>
      <c r="B472" s="2"/>
      <c r="C472" s="2"/>
      <c r="D472" s="2"/>
      <c r="E472" s="2"/>
      <c r="F472" s="2"/>
      <c r="G472" s="2"/>
      <c r="H472" s="2"/>
      <c r="I472" s="2"/>
      <c r="J472" s="2"/>
      <c r="K472" s="2"/>
      <c r="L472" s="2"/>
    </row>
    <row r="473" spans="1:12" ht="15.75" customHeight="1" x14ac:dyDescent="0.2">
      <c r="A473" s="2"/>
      <c r="B473" s="2"/>
      <c r="C473" s="2"/>
      <c r="D473" s="2"/>
      <c r="E473" s="2"/>
      <c r="F473" s="2"/>
      <c r="G473" s="2"/>
      <c r="H473" s="2"/>
      <c r="I473" s="2"/>
      <c r="J473" s="2"/>
      <c r="K473" s="2"/>
      <c r="L473" s="2"/>
    </row>
    <row r="474" spans="1:12" ht="15.75" customHeight="1" x14ac:dyDescent="0.2">
      <c r="A474" s="2"/>
      <c r="B474" s="2"/>
      <c r="C474" s="2"/>
      <c r="D474" s="2"/>
      <c r="E474" s="2"/>
      <c r="F474" s="2"/>
      <c r="G474" s="2"/>
      <c r="H474" s="2"/>
      <c r="I474" s="2"/>
      <c r="J474" s="2"/>
      <c r="K474" s="2"/>
      <c r="L474" s="2"/>
    </row>
    <row r="475" spans="1:12" ht="15.75" customHeight="1" x14ac:dyDescent="0.2">
      <c r="A475" s="2"/>
      <c r="B475" s="2"/>
      <c r="C475" s="2"/>
      <c r="D475" s="2"/>
      <c r="E475" s="2"/>
      <c r="F475" s="2"/>
      <c r="G475" s="2"/>
      <c r="H475" s="2"/>
      <c r="I475" s="2"/>
      <c r="J475" s="2"/>
      <c r="K475" s="2"/>
      <c r="L475" s="2"/>
    </row>
    <row r="476" spans="1:12" ht="15.75" customHeight="1" x14ac:dyDescent="0.2">
      <c r="A476" s="2"/>
      <c r="B476" s="2"/>
      <c r="C476" s="2"/>
      <c r="D476" s="2"/>
      <c r="E476" s="2"/>
      <c r="F476" s="2"/>
      <c r="G476" s="2"/>
      <c r="H476" s="2"/>
      <c r="I476" s="2"/>
      <c r="J476" s="2"/>
      <c r="K476" s="2"/>
      <c r="L476" s="2"/>
    </row>
    <row r="477" spans="1:12" ht="15.75" customHeight="1" x14ac:dyDescent="0.2">
      <c r="A477" s="2"/>
      <c r="B477" s="2"/>
      <c r="C477" s="2"/>
      <c r="D477" s="2"/>
      <c r="E477" s="2"/>
      <c r="F477" s="2"/>
      <c r="G477" s="2"/>
      <c r="H477" s="2"/>
      <c r="I477" s="2"/>
      <c r="J477" s="2"/>
      <c r="K477" s="2"/>
      <c r="L477" s="2"/>
    </row>
    <row r="478" spans="1:12" ht="15.75" customHeight="1" x14ac:dyDescent="0.2">
      <c r="A478" s="2"/>
      <c r="B478" s="2"/>
      <c r="C478" s="2"/>
      <c r="D478" s="2"/>
      <c r="E478" s="2"/>
      <c r="F478" s="2"/>
      <c r="G478" s="2"/>
      <c r="H478" s="2"/>
      <c r="I478" s="2"/>
      <c r="J478" s="2"/>
      <c r="K478" s="2"/>
      <c r="L478" s="2"/>
    </row>
    <row r="479" spans="1:12" ht="15.75" customHeight="1" x14ac:dyDescent="0.2">
      <c r="A479" s="2"/>
      <c r="B479" s="2"/>
      <c r="C479" s="2"/>
      <c r="D479" s="2"/>
      <c r="E479" s="2"/>
      <c r="F479" s="2"/>
      <c r="G479" s="2"/>
      <c r="H479" s="2"/>
      <c r="I479" s="2"/>
      <c r="J479" s="2"/>
      <c r="K479" s="2"/>
      <c r="L479" s="2"/>
    </row>
    <row r="480" spans="1:12" ht="15.75" customHeight="1" x14ac:dyDescent="0.2">
      <c r="A480" s="2"/>
      <c r="B480" s="2"/>
      <c r="C480" s="2"/>
      <c r="D480" s="2"/>
      <c r="E480" s="2"/>
      <c r="F480" s="2"/>
      <c r="G480" s="2"/>
      <c r="H480" s="2"/>
      <c r="I480" s="2"/>
      <c r="J480" s="2"/>
      <c r="K480" s="2"/>
      <c r="L480" s="2"/>
    </row>
    <row r="481" spans="1:12" ht="15.75" customHeight="1" x14ac:dyDescent="0.2">
      <c r="A481" s="2"/>
      <c r="B481" s="2"/>
      <c r="C481" s="2"/>
      <c r="D481" s="2"/>
      <c r="E481" s="2"/>
      <c r="F481" s="2"/>
      <c r="G481" s="2"/>
      <c r="H481" s="2"/>
      <c r="I481" s="2"/>
      <c r="J481" s="2"/>
      <c r="K481" s="2"/>
      <c r="L481" s="2"/>
    </row>
    <row r="482" spans="1:12" ht="15.75" customHeight="1" x14ac:dyDescent="0.2">
      <c r="A482" s="2"/>
      <c r="B482" s="2"/>
      <c r="C482" s="2"/>
      <c r="D482" s="2"/>
      <c r="E482" s="2"/>
      <c r="F482" s="2"/>
      <c r="G482" s="2"/>
      <c r="H482" s="2"/>
      <c r="I482" s="2"/>
      <c r="J482" s="2"/>
      <c r="K482" s="2"/>
      <c r="L482" s="2"/>
    </row>
    <row r="483" spans="1:12" ht="15.75" customHeight="1" x14ac:dyDescent="0.2">
      <c r="A483" s="2"/>
      <c r="B483" s="2"/>
      <c r="C483" s="2"/>
      <c r="D483" s="2"/>
      <c r="E483" s="2"/>
      <c r="F483" s="2"/>
      <c r="G483" s="2"/>
      <c r="H483" s="2"/>
      <c r="I483" s="2"/>
      <c r="J483" s="2"/>
      <c r="K483" s="2"/>
      <c r="L483" s="2"/>
    </row>
    <row r="484" spans="1:12" ht="15.75" customHeight="1" x14ac:dyDescent="0.2">
      <c r="A484" s="2"/>
      <c r="B484" s="2"/>
      <c r="C484" s="2"/>
      <c r="D484" s="2"/>
      <c r="E484" s="2"/>
      <c r="F484" s="2"/>
      <c r="G484" s="2"/>
      <c r="H484" s="2"/>
      <c r="I484" s="2"/>
      <c r="J484" s="2"/>
      <c r="K484" s="2"/>
      <c r="L484" s="2"/>
    </row>
    <row r="485" spans="1:12" ht="15.75" customHeight="1" x14ac:dyDescent="0.2">
      <c r="A485" s="2"/>
      <c r="B485" s="2"/>
      <c r="C485" s="2"/>
      <c r="D485" s="2"/>
      <c r="E485" s="2"/>
      <c r="F485" s="2"/>
      <c r="G485" s="2"/>
      <c r="H485" s="2"/>
      <c r="I485" s="2"/>
      <c r="J485" s="2"/>
      <c r="K485" s="2"/>
      <c r="L485" s="2"/>
    </row>
    <row r="486" spans="1:12" ht="15.75" customHeight="1" x14ac:dyDescent="0.2">
      <c r="A486" s="2"/>
      <c r="B486" s="2"/>
      <c r="C486" s="2"/>
      <c r="D486" s="2"/>
      <c r="E486" s="2"/>
      <c r="F486" s="2"/>
      <c r="G486" s="2"/>
      <c r="H486" s="2"/>
      <c r="I486" s="2"/>
      <c r="J486" s="2"/>
      <c r="K486" s="2"/>
      <c r="L486" s="2"/>
    </row>
    <row r="487" spans="1:12" ht="15.75" customHeight="1" x14ac:dyDescent="0.2">
      <c r="A487" s="2"/>
      <c r="B487" s="2"/>
      <c r="C487" s="2"/>
      <c r="D487" s="2"/>
      <c r="E487" s="2"/>
      <c r="F487" s="2"/>
      <c r="G487" s="2"/>
      <c r="H487" s="2"/>
      <c r="I487" s="2"/>
      <c r="J487" s="2"/>
      <c r="K487" s="2"/>
      <c r="L487" s="2"/>
    </row>
    <row r="488" spans="1:12" ht="15.75" customHeight="1" x14ac:dyDescent="0.2">
      <c r="A488" s="2"/>
      <c r="B488" s="2"/>
      <c r="C488" s="2"/>
      <c r="D488" s="2"/>
      <c r="E488" s="2"/>
      <c r="F488" s="2"/>
      <c r="G488" s="2"/>
      <c r="H488" s="2"/>
      <c r="I488" s="2"/>
      <c r="J488" s="2"/>
      <c r="K488" s="2"/>
      <c r="L488" s="2"/>
    </row>
    <row r="489" spans="1:12" ht="15.75" customHeight="1" x14ac:dyDescent="0.2">
      <c r="A489" s="2"/>
      <c r="B489" s="2"/>
      <c r="C489" s="2"/>
      <c r="D489" s="2"/>
      <c r="E489" s="2"/>
      <c r="F489" s="2"/>
      <c r="G489" s="2"/>
      <c r="H489" s="2"/>
      <c r="I489" s="2"/>
      <c r="J489" s="2"/>
      <c r="K489" s="2"/>
      <c r="L489" s="2"/>
    </row>
    <row r="490" spans="1:12" ht="15.75" customHeight="1" x14ac:dyDescent="0.2">
      <c r="A490" s="2"/>
      <c r="B490" s="2"/>
      <c r="C490" s="2"/>
      <c r="D490" s="2"/>
      <c r="E490" s="2"/>
      <c r="F490" s="2"/>
      <c r="G490" s="2"/>
      <c r="H490" s="2"/>
      <c r="I490" s="2"/>
      <c r="J490" s="2"/>
      <c r="K490" s="2"/>
      <c r="L490" s="2"/>
    </row>
    <row r="491" spans="1:12" ht="15.75" customHeight="1" x14ac:dyDescent="0.2">
      <c r="A491" s="2"/>
      <c r="B491" s="2"/>
      <c r="C491" s="2"/>
      <c r="D491" s="2"/>
      <c r="E491" s="2"/>
      <c r="F491" s="2"/>
      <c r="G491" s="2"/>
      <c r="H491" s="2"/>
      <c r="I491" s="2"/>
      <c r="J491" s="2"/>
      <c r="K491" s="2"/>
      <c r="L491" s="2"/>
    </row>
    <row r="492" spans="1:12" ht="15.75" customHeight="1" x14ac:dyDescent="0.2">
      <c r="A492" s="2"/>
      <c r="B492" s="2"/>
      <c r="C492" s="2"/>
      <c r="D492" s="2"/>
      <c r="E492" s="2"/>
      <c r="F492" s="2"/>
      <c r="G492" s="2"/>
      <c r="H492" s="2"/>
      <c r="I492" s="2"/>
      <c r="J492" s="2"/>
      <c r="K492" s="2"/>
      <c r="L492" s="2"/>
    </row>
    <row r="493" spans="1:12" ht="15.75" customHeight="1" x14ac:dyDescent="0.2">
      <c r="A493" s="2"/>
      <c r="B493" s="2"/>
      <c r="C493" s="2"/>
      <c r="D493" s="2"/>
      <c r="E493" s="2"/>
      <c r="F493" s="2"/>
      <c r="G493" s="2"/>
      <c r="H493" s="2"/>
      <c r="I493" s="2"/>
      <c r="J493" s="2"/>
      <c r="K493" s="2"/>
      <c r="L493" s="2"/>
    </row>
    <row r="494" spans="1:12" ht="15.75" customHeight="1" x14ac:dyDescent="0.2">
      <c r="A494" s="2"/>
      <c r="B494" s="2"/>
      <c r="C494" s="2"/>
      <c r="D494" s="2"/>
      <c r="E494" s="2"/>
      <c r="F494" s="2"/>
      <c r="G494" s="2"/>
      <c r="H494" s="2"/>
      <c r="I494" s="2"/>
      <c r="J494" s="2"/>
      <c r="K494" s="2"/>
      <c r="L494" s="2"/>
    </row>
    <row r="495" spans="1:12" ht="15.75" customHeight="1" x14ac:dyDescent="0.2">
      <c r="A495" s="2"/>
      <c r="B495" s="2"/>
      <c r="C495" s="2"/>
      <c r="D495" s="2"/>
      <c r="E495" s="2"/>
      <c r="F495" s="2"/>
      <c r="G495" s="2"/>
      <c r="H495" s="2"/>
      <c r="I495" s="2"/>
      <c r="J495" s="2"/>
      <c r="K495" s="2"/>
      <c r="L495" s="2"/>
    </row>
    <row r="496" spans="1:12" ht="15.75" customHeight="1" x14ac:dyDescent="0.2">
      <c r="A496" s="2"/>
      <c r="B496" s="2"/>
      <c r="C496" s="2"/>
      <c r="D496" s="2"/>
      <c r="E496" s="2"/>
      <c r="F496" s="2"/>
      <c r="G496" s="2"/>
      <c r="H496" s="2"/>
      <c r="I496" s="2"/>
      <c r="J496" s="2"/>
      <c r="K496" s="2"/>
      <c r="L496" s="2"/>
    </row>
    <row r="497" spans="1:12" ht="15.75" customHeight="1" x14ac:dyDescent="0.2">
      <c r="A497" s="2"/>
      <c r="B497" s="2"/>
      <c r="C497" s="2"/>
      <c r="D497" s="2"/>
      <c r="E497" s="2"/>
      <c r="F497" s="2"/>
      <c r="G497" s="2"/>
      <c r="H497" s="2"/>
      <c r="I497" s="2"/>
      <c r="J497" s="2"/>
      <c r="K497" s="2"/>
      <c r="L497" s="2"/>
    </row>
    <row r="498" spans="1:12" ht="15.75" customHeight="1" x14ac:dyDescent="0.2">
      <c r="A498" s="2"/>
      <c r="B498" s="2"/>
      <c r="C498" s="2"/>
      <c r="D498" s="2"/>
      <c r="E498" s="2"/>
      <c r="F498" s="2"/>
      <c r="G498" s="2"/>
      <c r="H498" s="2"/>
      <c r="I498" s="2"/>
      <c r="J498" s="2"/>
      <c r="K498" s="2"/>
      <c r="L498" s="2"/>
    </row>
    <row r="499" spans="1:12" ht="15.75" customHeight="1" x14ac:dyDescent="0.2">
      <c r="A499" s="2"/>
      <c r="B499" s="2"/>
      <c r="C499" s="2"/>
      <c r="D499" s="2"/>
      <c r="E499" s="2"/>
      <c r="F499" s="2"/>
      <c r="G499" s="2"/>
      <c r="H499" s="2"/>
      <c r="I499" s="2"/>
      <c r="J499" s="2"/>
      <c r="K499" s="2"/>
      <c r="L499" s="2"/>
    </row>
    <row r="500" spans="1:12" ht="15.75" customHeight="1" x14ac:dyDescent="0.2">
      <c r="A500" s="2"/>
      <c r="B500" s="2"/>
      <c r="C500" s="2"/>
      <c r="D500" s="2"/>
      <c r="E500" s="2"/>
      <c r="F500" s="2"/>
      <c r="G500" s="2"/>
      <c r="H500" s="2"/>
      <c r="I500" s="2"/>
      <c r="J500" s="2"/>
      <c r="K500" s="2"/>
      <c r="L500" s="2"/>
    </row>
    <row r="501" spans="1:12" ht="15.75" customHeight="1" x14ac:dyDescent="0.2">
      <c r="A501" s="2"/>
      <c r="B501" s="2"/>
      <c r="C501" s="2"/>
      <c r="D501" s="2"/>
      <c r="E501" s="2"/>
      <c r="F501" s="2"/>
      <c r="G501" s="2"/>
      <c r="H501" s="2"/>
      <c r="I501" s="2"/>
      <c r="J501" s="2"/>
      <c r="K501" s="2"/>
      <c r="L501" s="2"/>
    </row>
    <row r="502" spans="1:12" ht="15.75" customHeight="1" x14ac:dyDescent="0.2">
      <c r="A502" s="2"/>
      <c r="B502" s="2"/>
      <c r="C502" s="2"/>
      <c r="D502" s="2"/>
      <c r="E502" s="2"/>
      <c r="F502" s="2"/>
      <c r="G502" s="2"/>
      <c r="H502" s="2"/>
      <c r="I502" s="2"/>
      <c r="J502" s="2"/>
      <c r="K502" s="2"/>
      <c r="L502" s="2"/>
    </row>
    <row r="503" spans="1:12" ht="15.75" customHeight="1" x14ac:dyDescent="0.2">
      <c r="A503" s="2"/>
      <c r="B503" s="2"/>
      <c r="C503" s="2"/>
      <c r="D503" s="2"/>
      <c r="E503" s="2"/>
      <c r="F503" s="2"/>
      <c r="G503" s="2"/>
      <c r="H503" s="2"/>
      <c r="I503" s="2"/>
      <c r="J503" s="2"/>
      <c r="K503" s="2"/>
      <c r="L503" s="2"/>
    </row>
    <row r="504" spans="1:12" ht="15.75" customHeight="1" x14ac:dyDescent="0.2">
      <c r="A504" s="2"/>
      <c r="B504" s="2"/>
      <c r="C504" s="2"/>
      <c r="D504" s="2"/>
      <c r="E504" s="2"/>
      <c r="F504" s="2"/>
      <c r="G504" s="2"/>
      <c r="H504" s="2"/>
      <c r="I504" s="2"/>
      <c r="J504" s="2"/>
      <c r="K504" s="2"/>
      <c r="L504" s="2"/>
    </row>
    <row r="505" spans="1:12" ht="15.75" customHeight="1" x14ac:dyDescent="0.2">
      <c r="A505" s="2"/>
      <c r="B505" s="2"/>
      <c r="C505" s="2"/>
      <c r="D505" s="2"/>
      <c r="E505" s="2"/>
      <c r="F505" s="2"/>
      <c r="G505" s="2"/>
      <c r="H505" s="2"/>
      <c r="I505" s="2"/>
      <c r="J505" s="2"/>
      <c r="K505" s="2"/>
      <c r="L505" s="2"/>
    </row>
    <row r="506" spans="1:12" ht="15.75" customHeight="1" x14ac:dyDescent="0.2">
      <c r="A506" s="2"/>
      <c r="B506" s="2"/>
      <c r="C506" s="2"/>
      <c r="D506" s="2"/>
      <c r="E506" s="2"/>
      <c r="F506" s="2"/>
      <c r="G506" s="2"/>
      <c r="H506" s="2"/>
      <c r="I506" s="2"/>
      <c r="J506" s="2"/>
      <c r="K506" s="2"/>
      <c r="L506" s="2"/>
    </row>
    <row r="507" spans="1:12" ht="15.75" customHeight="1" x14ac:dyDescent="0.2">
      <c r="A507" s="2"/>
      <c r="B507" s="2"/>
      <c r="C507" s="2"/>
      <c r="D507" s="2"/>
      <c r="E507" s="2"/>
      <c r="F507" s="2"/>
      <c r="G507" s="2"/>
      <c r="H507" s="2"/>
      <c r="I507" s="2"/>
      <c r="J507" s="2"/>
      <c r="K507" s="2"/>
      <c r="L507" s="2"/>
    </row>
    <row r="508" spans="1:12" ht="15.75" customHeight="1" x14ac:dyDescent="0.2">
      <c r="A508" s="2"/>
      <c r="B508" s="2"/>
      <c r="C508" s="2"/>
      <c r="D508" s="2"/>
      <c r="E508" s="2"/>
      <c r="F508" s="2"/>
      <c r="G508" s="2"/>
      <c r="H508" s="2"/>
      <c r="I508" s="2"/>
      <c r="J508" s="2"/>
      <c r="K508" s="2"/>
      <c r="L508" s="2"/>
    </row>
    <row r="509" spans="1:12" ht="15.75" customHeight="1" x14ac:dyDescent="0.2">
      <c r="A509" s="2"/>
      <c r="B509" s="2"/>
      <c r="C509" s="2"/>
      <c r="D509" s="2"/>
      <c r="E509" s="2"/>
      <c r="F509" s="2"/>
      <c r="G509" s="2"/>
      <c r="H509" s="2"/>
      <c r="I509" s="2"/>
      <c r="J509" s="2"/>
      <c r="K509" s="2"/>
      <c r="L509" s="2"/>
    </row>
    <row r="510" spans="1:12" ht="15.75" customHeight="1" x14ac:dyDescent="0.2">
      <c r="A510" s="2"/>
      <c r="B510" s="2"/>
      <c r="C510" s="2"/>
      <c r="D510" s="2"/>
      <c r="E510" s="2"/>
      <c r="F510" s="2"/>
      <c r="G510" s="2"/>
      <c r="H510" s="2"/>
      <c r="I510" s="2"/>
      <c r="J510" s="2"/>
      <c r="K510" s="2"/>
      <c r="L510" s="2"/>
    </row>
    <row r="511" spans="1:12" ht="15.75" customHeight="1" x14ac:dyDescent="0.2">
      <c r="A511" s="2"/>
      <c r="B511" s="2"/>
      <c r="C511" s="2"/>
      <c r="D511" s="2"/>
      <c r="E511" s="2"/>
      <c r="F511" s="2"/>
      <c r="G511" s="2"/>
      <c r="H511" s="2"/>
      <c r="I511" s="2"/>
      <c r="J511" s="2"/>
      <c r="K511" s="2"/>
      <c r="L511" s="2"/>
    </row>
    <row r="512" spans="1:12" ht="15.75" customHeight="1" x14ac:dyDescent="0.2">
      <c r="A512" s="2"/>
      <c r="B512" s="2"/>
      <c r="C512" s="2"/>
      <c r="D512" s="2"/>
      <c r="E512" s="2"/>
      <c r="F512" s="2"/>
      <c r="G512" s="2"/>
      <c r="H512" s="2"/>
      <c r="I512" s="2"/>
      <c r="J512" s="2"/>
      <c r="K512" s="2"/>
      <c r="L512" s="2"/>
    </row>
    <row r="513" spans="1:12" ht="15.75" customHeight="1" x14ac:dyDescent="0.2">
      <c r="A513" s="2"/>
      <c r="B513" s="2"/>
      <c r="C513" s="2"/>
      <c r="D513" s="2"/>
      <c r="E513" s="2"/>
      <c r="F513" s="2"/>
      <c r="G513" s="2"/>
      <c r="H513" s="2"/>
      <c r="I513" s="2"/>
      <c r="J513" s="2"/>
      <c r="K513" s="2"/>
      <c r="L513" s="2"/>
    </row>
    <row r="514" spans="1:12" ht="15.75" customHeight="1" x14ac:dyDescent="0.2">
      <c r="A514" s="2"/>
      <c r="B514" s="2"/>
      <c r="C514" s="2"/>
      <c r="D514" s="2"/>
      <c r="E514" s="2"/>
      <c r="F514" s="2"/>
      <c r="G514" s="2"/>
      <c r="H514" s="2"/>
      <c r="I514" s="2"/>
      <c r="J514" s="2"/>
      <c r="K514" s="2"/>
      <c r="L514" s="2"/>
    </row>
    <row r="515" spans="1:12" ht="15.75" customHeight="1" x14ac:dyDescent="0.2">
      <c r="A515" s="2"/>
      <c r="B515" s="2"/>
      <c r="C515" s="2"/>
      <c r="D515" s="2"/>
      <c r="E515" s="2"/>
      <c r="F515" s="2"/>
      <c r="G515" s="2"/>
      <c r="H515" s="2"/>
      <c r="I515" s="2"/>
      <c r="J515" s="2"/>
      <c r="K515" s="2"/>
      <c r="L515" s="2"/>
    </row>
    <row r="516" spans="1:12" ht="15.75" customHeight="1" x14ac:dyDescent="0.2">
      <c r="A516" s="2"/>
      <c r="B516" s="2"/>
      <c r="C516" s="2"/>
      <c r="D516" s="2"/>
      <c r="E516" s="2"/>
      <c r="F516" s="2"/>
      <c r="G516" s="2"/>
      <c r="H516" s="2"/>
      <c r="I516" s="2"/>
      <c r="J516" s="2"/>
      <c r="K516" s="2"/>
      <c r="L516" s="2"/>
    </row>
    <row r="517" spans="1:12" ht="15.75" customHeight="1" x14ac:dyDescent="0.2">
      <c r="A517" s="2"/>
      <c r="B517" s="2"/>
      <c r="C517" s="2"/>
      <c r="D517" s="2"/>
      <c r="E517" s="2"/>
      <c r="F517" s="2"/>
      <c r="G517" s="2"/>
      <c r="H517" s="2"/>
      <c r="I517" s="2"/>
      <c r="J517" s="2"/>
      <c r="K517" s="2"/>
      <c r="L517" s="2"/>
    </row>
    <row r="518" spans="1:12" ht="15.75" customHeight="1" x14ac:dyDescent="0.2">
      <c r="A518" s="2"/>
      <c r="B518" s="2"/>
      <c r="C518" s="2"/>
      <c r="D518" s="2"/>
      <c r="E518" s="2"/>
      <c r="F518" s="2"/>
      <c r="G518" s="2"/>
      <c r="H518" s="2"/>
      <c r="I518" s="2"/>
      <c r="J518" s="2"/>
      <c r="K518" s="2"/>
      <c r="L518" s="2"/>
    </row>
    <row r="519" spans="1:12" ht="15.75" customHeight="1" x14ac:dyDescent="0.2">
      <c r="A519" s="2"/>
      <c r="B519" s="2"/>
      <c r="C519" s="2"/>
      <c r="D519" s="2"/>
      <c r="E519" s="2"/>
      <c r="F519" s="2"/>
      <c r="G519" s="2"/>
      <c r="H519" s="2"/>
      <c r="I519" s="2"/>
      <c r="J519" s="2"/>
      <c r="K519" s="2"/>
      <c r="L519" s="2"/>
    </row>
    <row r="520" spans="1:12" ht="15.75" customHeight="1" x14ac:dyDescent="0.2">
      <c r="A520" s="2"/>
      <c r="B520" s="2"/>
      <c r="C520" s="2"/>
      <c r="D520" s="2"/>
      <c r="E520" s="2"/>
      <c r="F520" s="2"/>
      <c r="G520" s="2"/>
      <c r="H520" s="2"/>
      <c r="I520" s="2"/>
      <c r="J520" s="2"/>
      <c r="K520" s="2"/>
      <c r="L520" s="2"/>
    </row>
    <row r="521" spans="1:12" ht="15.75" customHeight="1" x14ac:dyDescent="0.2">
      <c r="A521" s="2"/>
      <c r="B521" s="2"/>
      <c r="C521" s="2"/>
      <c r="D521" s="2"/>
      <c r="E521" s="2"/>
      <c r="F521" s="2"/>
      <c r="G521" s="2"/>
      <c r="H521" s="2"/>
      <c r="I521" s="2"/>
      <c r="J521" s="2"/>
      <c r="K521" s="2"/>
      <c r="L521" s="2"/>
    </row>
    <row r="522" spans="1:12" ht="15.75" customHeight="1" x14ac:dyDescent="0.2">
      <c r="A522" s="2"/>
      <c r="B522" s="2"/>
      <c r="C522" s="2"/>
      <c r="D522" s="2"/>
      <c r="E522" s="2"/>
      <c r="F522" s="2"/>
      <c r="G522" s="2"/>
      <c r="H522" s="2"/>
      <c r="I522" s="2"/>
      <c r="J522" s="2"/>
      <c r="K522" s="2"/>
      <c r="L522" s="2"/>
    </row>
    <row r="523" spans="1:12" ht="15.75" customHeight="1" x14ac:dyDescent="0.2">
      <c r="A523" s="2"/>
      <c r="B523" s="2"/>
      <c r="C523" s="2"/>
      <c r="D523" s="2"/>
      <c r="E523" s="2"/>
      <c r="F523" s="2"/>
      <c r="G523" s="2"/>
      <c r="H523" s="2"/>
      <c r="I523" s="2"/>
      <c r="J523" s="2"/>
      <c r="K523" s="2"/>
      <c r="L523" s="2"/>
    </row>
    <row r="524" spans="1:12" ht="15.75" customHeight="1" x14ac:dyDescent="0.2">
      <c r="A524" s="2"/>
      <c r="B524" s="2"/>
      <c r="C524" s="2"/>
      <c r="D524" s="2"/>
      <c r="E524" s="2"/>
      <c r="F524" s="2"/>
      <c r="G524" s="2"/>
      <c r="H524" s="2"/>
      <c r="I524" s="2"/>
      <c r="J524" s="2"/>
      <c r="K524" s="2"/>
      <c r="L524" s="2"/>
    </row>
    <row r="525" spans="1:12" ht="15.75" customHeight="1" x14ac:dyDescent="0.2">
      <c r="A525" s="2"/>
      <c r="B525" s="2"/>
      <c r="C525" s="2"/>
      <c r="D525" s="2"/>
      <c r="E525" s="2"/>
      <c r="F525" s="2"/>
      <c r="G525" s="2"/>
      <c r="H525" s="2"/>
      <c r="I525" s="2"/>
      <c r="J525" s="2"/>
      <c r="K525" s="2"/>
      <c r="L525" s="2"/>
    </row>
    <row r="526" spans="1:12" ht="15.75" customHeight="1" x14ac:dyDescent="0.2">
      <c r="A526" s="2"/>
      <c r="B526" s="2"/>
      <c r="C526" s="2"/>
      <c r="D526" s="2"/>
      <c r="E526" s="2"/>
      <c r="F526" s="2"/>
      <c r="G526" s="2"/>
      <c r="H526" s="2"/>
      <c r="I526" s="2"/>
      <c r="J526" s="2"/>
      <c r="K526" s="2"/>
      <c r="L526" s="2"/>
    </row>
    <row r="527" spans="1:12" ht="15.75" customHeight="1" x14ac:dyDescent="0.2">
      <c r="A527" s="2"/>
      <c r="B527" s="2"/>
      <c r="C527" s="2"/>
      <c r="D527" s="2"/>
      <c r="E527" s="2"/>
      <c r="F527" s="2"/>
      <c r="G527" s="2"/>
      <c r="H527" s="2"/>
      <c r="I527" s="2"/>
      <c r="J527" s="2"/>
      <c r="K527" s="2"/>
      <c r="L527" s="2"/>
    </row>
    <row r="528" spans="1:12" ht="15.75" customHeight="1" x14ac:dyDescent="0.2">
      <c r="A528" s="2"/>
      <c r="B528" s="2"/>
      <c r="C528" s="2"/>
      <c r="D528" s="2"/>
      <c r="E528" s="2"/>
      <c r="F528" s="2"/>
      <c r="G528" s="2"/>
      <c r="H528" s="2"/>
      <c r="I528" s="2"/>
      <c r="J528" s="2"/>
      <c r="K528" s="2"/>
      <c r="L528" s="2"/>
    </row>
    <row r="529" spans="1:12" ht="15.75" customHeight="1" x14ac:dyDescent="0.2">
      <c r="A529" s="2"/>
      <c r="B529" s="2"/>
      <c r="C529" s="2"/>
      <c r="D529" s="2"/>
      <c r="E529" s="2"/>
      <c r="F529" s="2"/>
      <c r="G529" s="2"/>
      <c r="H529" s="2"/>
      <c r="I529" s="2"/>
      <c r="J529" s="2"/>
      <c r="K529" s="2"/>
      <c r="L529" s="2"/>
    </row>
    <row r="530" spans="1:12" ht="15.75" customHeight="1" x14ac:dyDescent="0.2">
      <c r="A530" s="2"/>
      <c r="B530" s="2"/>
      <c r="C530" s="2"/>
      <c r="D530" s="2"/>
      <c r="E530" s="2"/>
      <c r="F530" s="2"/>
      <c r="G530" s="2"/>
      <c r="H530" s="2"/>
      <c r="I530" s="2"/>
      <c r="J530" s="2"/>
      <c r="K530" s="2"/>
      <c r="L530" s="2"/>
    </row>
    <row r="531" spans="1:12" ht="15.75" customHeight="1" x14ac:dyDescent="0.2">
      <c r="A531" s="2"/>
      <c r="B531" s="2"/>
      <c r="C531" s="2"/>
      <c r="D531" s="2"/>
      <c r="E531" s="2"/>
      <c r="F531" s="2"/>
      <c r="G531" s="2"/>
      <c r="H531" s="2"/>
      <c r="I531" s="2"/>
      <c r="J531" s="2"/>
      <c r="K531" s="2"/>
      <c r="L531" s="2"/>
    </row>
    <row r="532" spans="1:12" ht="15.75" customHeight="1" x14ac:dyDescent="0.2">
      <c r="A532" s="2"/>
      <c r="B532" s="2"/>
      <c r="C532" s="2"/>
      <c r="D532" s="2"/>
      <c r="E532" s="2"/>
      <c r="F532" s="2"/>
      <c r="G532" s="2"/>
      <c r="H532" s="2"/>
      <c r="I532" s="2"/>
      <c r="J532" s="2"/>
      <c r="K532" s="2"/>
      <c r="L532" s="2"/>
    </row>
    <row r="533" spans="1:12" ht="15.75" customHeight="1" x14ac:dyDescent="0.2">
      <c r="A533" s="2"/>
      <c r="B533" s="2"/>
      <c r="C533" s="2"/>
      <c r="D533" s="2"/>
      <c r="E533" s="2"/>
      <c r="F533" s="2"/>
      <c r="G533" s="2"/>
      <c r="H533" s="2"/>
      <c r="I533" s="2"/>
      <c r="J533" s="2"/>
      <c r="K533" s="2"/>
      <c r="L533" s="2"/>
    </row>
    <row r="534" spans="1:12" ht="15.75" customHeight="1" x14ac:dyDescent="0.2">
      <c r="A534" s="2"/>
      <c r="B534" s="2"/>
      <c r="C534" s="2"/>
      <c r="D534" s="2"/>
      <c r="E534" s="2"/>
      <c r="F534" s="2"/>
      <c r="G534" s="2"/>
      <c r="H534" s="2"/>
      <c r="I534" s="2"/>
      <c r="J534" s="2"/>
      <c r="K534" s="2"/>
      <c r="L534" s="2"/>
    </row>
    <row r="535" spans="1:12" ht="15.75" customHeight="1" x14ac:dyDescent="0.2">
      <c r="A535" s="2"/>
      <c r="B535" s="2"/>
      <c r="C535" s="2"/>
      <c r="D535" s="2"/>
      <c r="E535" s="2"/>
      <c r="F535" s="2"/>
      <c r="G535" s="2"/>
      <c r="H535" s="2"/>
      <c r="I535" s="2"/>
      <c r="J535" s="2"/>
      <c r="K535" s="2"/>
      <c r="L535" s="2"/>
    </row>
    <row r="536" spans="1:12" ht="15.75" customHeight="1" x14ac:dyDescent="0.2">
      <c r="A536" s="2"/>
      <c r="B536" s="2"/>
      <c r="C536" s="2"/>
      <c r="D536" s="2"/>
      <c r="E536" s="2"/>
      <c r="F536" s="2"/>
      <c r="G536" s="2"/>
      <c r="H536" s="2"/>
      <c r="I536" s="2"/>
      <c r="J536" s="2"/>
      <c r="K536" s="2"/>
      <c r="L536" s="2"/>
    </row>
    <row r="537" spans="1:12" ht="15.75" customHeight="1" x14ac:dyDescent="0.2">
      <c r="A537" s="2"/>
      <c r="B537" s="2"/>
      <c r="C537" s="2"/>
      <c r="D537" s="2"/>
      <c r="E537" s="2"/>
      <c r="F537" s="2"/>
      <c r="G537" s="2"/>
      <c r="H537" s="2"/>
      <c r="I537" s="2"/>
      <c r="J537" s="2"/>
      <c r="K537" s="2"/>
      <c r="L537" s="2"/>
    </row>
    <row r="538" spans="1:12" ht="15.75" customHeight="1" x14ac:dyDescent="0.2">
      <c r="A538" s="2"/>
      <c r="B538" s="2"/>
      <c r="C538" s="2"/>
      <c r="D538" s="2"/>
      <c r="E538" s="2"/>
      <c r="F538" s="2"/>
      <c r="G538" s="2"/>
      <c r="H538" s="2"/>
      <c r="I538" s="2"/>
      <c r="J538" s="2"/>
      <c r="K538" s="2"/>
      <c r="L538" s="2"/>
    </row>
    <row r="539" spans="1:12" ht="15.75" customHeight="1" x14ac:dyDescent="0.2">
      <c r="A539" s="2"/>
      <c r="B539" s="2"/>
      <c r="C539" s="2"/>
      <c r="D539" s="2"/>
      <c r="E539" s="2"/>
      <c r="F539" s="2"/>
      <c r="G539" s="2"/>
      <c r="H539" s="2"/>
      <c r="I539" s="2"/>
      <c r="J539" s="2"/>
      <c r="K539" s="2"/>
      <c r="L539" s="2"/>
    </row>
    <row r="540" spans="1:12" ht="15.75" customHeight="1" x14ac:dyDescent="0.2">
      <c r="A540" s="2"/>
      <c r="B540" s="2"/>
      <c r="C540" s="2"/>
      <c r="D540" s="2"/>
      <c r="E540" s="2"/>
      <c r="F540" s="2"/>
      <c r="G540" s="2"/>
      <c r="H540" s="2"/>
      <c r="I540" s="2"/>
      <c r="J540" s="2"/>
      <c r="K540" s="2"/>
      <c r="L540" s="2"/>
    </row>
    <row r="541" spans="1:12" ht="15.75" customHeight="1" x14ac:dyDescent="0.2">
      <c r="A541" s="2"/>
      <c r="B541" s="2"/>
      <c r="C541" s="2"/>
      <c r="D541" s="2"/>
      <c r="E541" s="2"/>
      <c r="F541" s="2"/>
      <c r="G541" s="2"/>
      <c r="H541" s="2"/>
      <c r="I541" s="2"/>
      <c r="J541" s="2"/>
      <c r="K541" s="2"/>
      <c r="L541" s="2"/>
    </row>
    <row r="542" spans="1:12" ht="15.75" customHeight="1" x14ac:dyDescent="0.2">
      <c r="A542" s="2"/>
      <c r="B542" s="2"/>
      <c r="C542" s="2"/>
      <c r="D542" s="2"/>
      <c r="E542" s="2"/>
      <c r="F542" s="2"/>
      <c r="G542" s="2"/>
      <c r="H542" s="2"/>
      <c r="I542" s="2"/>
      <c r="J542" s="2"/>
      <c r="K542" s="2"/>
      <c r="L542" s="2"/>
    </row>
    <row r="543" spans="1:12" ht="15.75" customHeight="1" x14ac:dyDescent="0.2">
      <c r="A543" s="2"/>
      <c r="B543" s="2"/>
      <c r="C543" s="2"/>
      <c r="D543" s="2"/>
      <c r="E543" s="2"/>
      <c r="F543" s="2"/>
      <c r="G543" s="2"/>
      <c r="H543" s="2"/>
      <c r="I543" s="2"/>
      <c r="J543" s="2"/>
      <c r="K543" s="2"/>
      <c r="L543" s="2"/>
    </row>
    <row r="544" spans="1:12" ht="15.75" customHeight="1" x14ac:dyDescent="0.2">
      <c r="A544" s="2"/>
      <c r="B544" s="2"/>
      <c r="C544" s="2"/>
      <c r="D544" s="2"/>
      <c r="E544" s="2"/>
      <c r="F544" s="2"/>
      <c r="G544" s="2"/>
      <c r="H544" s="2"/>
      <c r="I544" s="2"/>
      <c r="J544" s="2"/>
      <c r="K544" s="2"/>
      <c r="L544" s="2"/>
    </row>
    <row r="545" spans="1:12" ht="15.75" customHeight="1" x14ac:dyDescent="0.2">
      <c r="A545" s="2"/>
      <c r="B545" s="2"/>
      <c r="C545" s="2"/>
      <c r="D545" s="2"/>
      <c r="E545" s="2"/>
      <c r="F545" s="2"/>
      <c r="G545" s="2"/>
      <c r="H545" s="2"/>
      <c r="I545" s="2"/>
      <c r="J545" s="2"/>
      <c r="K545" s="2"/>
      <c r="L545" s="2"/>
    </row>
    <row r="546" spans="1:12" ht="15.75" customHeight="1" x14ac:dyDescent="0.2">
      <c r="A546" s="2"/>
      <c r="B546" s="2"/>
      <c r="C546" s="2"/>
      <c r="D546" s="2"/>
      <c r="E546" s="2"/>
      <c r="F546" s="2"/>
      <c r="G546" s="2"/>
      <c r="H546" s="2"/>
      <c r="I546" s="2"/>
      <c r="J546" s="2"/>
      <c r="K546" s="2"/>
      <c r="L546" s="2"/>
    </row>
    <row r="547" spans="1:12" ht="15.75" customHeight="1" x14ac:dyDescent="0.2">
      <c r="A547" s="2"/>
      <c r="B547" s="2"/>
      <c r="C547" s="2"/>
      <c r="D547" s="2"/>
      <c r="E547" s="2"/>
      <c r="F547" s="2"/>
      <c r="G547" s="2"/>
      <c r="H547" s="2"/>
      <c r="I547" s="2"/>
      <c r="J547" s="2"/>
      <c r="K547" s="2"/>
      <c r="L547" s="2"/>
    </row>
    <row r="548" spans="1:12" ht="15.75" customHeight="1" x14ac:dyDescent="0.2">
      <c r="A548" s="2"/>
      <c r="B548" s="2"/>
      <c r="C548" s="2"/>
      <c r="D548" s="2"/>
      <c r="E548" s="2"/>
      <c r="F548" s="2"/>
      <c r="G548" s="2"/>
      <c r="H548" s="2"/>
      <c r="I548" s="2"/>
      <c r="J548" s="2"/>
      <c r="K548" s="2"/>
      <c r="L548" s="2"/>
    </row>
    <row r="549" spans="1:12" ht="15.75" customHeight="1" x14ac:dyDescent="0.2">
      <c r="A549" s="2"/>
      <c r="B549" s="2"/>
      <c r="C549" s="2"/>
      <c r="D549" s="2"/>
      <c r="E549" s="2"/>
      <c r="F549" s="2"/>
      <c r="G549" s="2"/>
      <c r="H549" s="2"/>
      <c r="I549" s="2"/>
      <c r="J549" s="2"/>
      <c r="K549" s="2"/>
      <c r="L549" s="2"/>
    </row>
    <row r="550" spans="1:12" ht="15.75" customHeight="1" x14ac:dyDescent="0.2">
      <c r="A550" s="2"/>
      <c r="B550" s="2"/>
      <c r="C550" s="2"/>
      <c r="D550" s="2"/>
      <c r="E550" s="2"/>
      <c r="F550" s="2"/>
      <c r="G550" s="2"/>
      <c r="H550" s="2"/>
      <c r="I550" s="2"/>
      <c r="J550" s="2"/>
      <c r="K550" s="2"/>
      <c r="L550" s="2"/>
    </row>
    <row r="551" spans="1:12" ht="15.75" customHeight="1" x14ac:dyDescent="0.2">
      <c r="A551" s="2"/>
      <c r="B551" s="2"/>
      <c r="C551" s="2"/>
      <c r="D551" s="2"/>
      <c r="E551" s="2"/>
      <c r="F551" s="2"/>
      <c r="G551" s="2"/>
      <c r="H551" s="2"/>
      <c r="I551" s="2"/>
      <c r="J551" s="2"/>
      <c r="K551" s="2"/>
      <c r="L551" s="2"/>
    </row>
    <row r="552" spans="1:12" ht="15.75" customHeight="1" x14ac:dyDescent="0.2">
      <c r="A552" s="2"/>
      <c r="B552" s="2"/>
      <c r="C552" s="2"/>
      <c r="D552" s="2"/>
      <c r="E552" s="2"/>
      <c r="F552" s="2"/>
      <c r="G552" s="2"/>
      <c r="H552" s="2"/>
      <c r="I552" s="2"/>
      <c r="J552" s="2"/>
      <c r="K552" s="2"/>
      <c r="L552" s="2"/>
    </row>
    <row r="553" spans="1:12" ht="15.75" customHeight="1" x14ac:dyDescent="0.2">
      <c r="A553" s="2"/>
      <c r="B553" s="2"/>
      <c r="C553" s="2"/>
      <c r="D553" s="2"/>
      <c r="E553" s="2"/>
      <c r="F553" s="2"/>
      <c r="G553" s="2"/>
      <c r="H553" s="2"/>
      <c r="I553" s="2"/>
      <c r="J553" s="2"/>
      <c r="K553" s="2"/>
      <c r="L553" s="2"/>
    </row>
    <row r="554" spans="1:12" ht="15.75" customHeight="1" x14ac:dyDescent="0.2">
      <c r="A554" s="2"/>
      <c r="B554" s="2"/>
      <c r="C554" s="2"/>
      <c r="D554" s="2"/>
      <c r="E554" s="2"/>
      <c r="F554" s="2"/>
      <c r="G554" s="2"/>
      <c r="H554" s="2"/>
      <c r="I554" s="2"/>
      <c r="J554" s="2"/>
      <c r="K554" s="2"/>
      <c r="L554" s="2"/>
    </row>
    <row r="555" spans="1:12" ht="15.75" customHeight="1" x14ac:dyDescent="0.2">
      <c r="A555" s="2"/>
      <c r="B555" s="2"/>
      <c r="C555" s="2"/>
      <c r="D555" s="2"/>
      <c r="E555" s="2"/>
      <c r="F555" s="2"/>
      <c r="G555" s="2"/>
      <c r="H555" s="2"/>
      <c r="I555" s="2"/>
      <c r="J555" s="2"/>
      <c r="K555" s="2"/>
      <c r="L555" s="2"/>
    </row>
    <row r="556" spans="1:12" ht="15.75" customHeight="1" x14ac:dyDescent="0.2">
      <c r="A556" s="2"/>
      <c r="B556" s="2"/>
      <c r="C556" s="2"/>
      <c r="D556" s="2"/>
      <c r="E556" s="2"/>
      <c r="F556" s="2"/>
      <c r="G556" s="2"/>
      <c r="H556" s="2"/>
      <c r="I556" s="2"/>
      <c r="J556" s="2"/>
      <c r="K556" s="2"/>
      <c r="L556" s="2"/>
    </row>
    <row r="557" spans="1:12" ht="15.75" customHeight="1" x14ac:dyDescent="0.2">
      <c r="A557" s="2"/>
      <c r="B557" s="2"/>
      <c r="C557" s="2"/>
      <c r="D557" s="2"/>
      <c r="E557" s="2"/>
      <c r="F557" s="2"/>
      <c r="G557" s="2"/>
      <c r="H557" s="2"/>
      <c r="I557" s="2"/>
      <c r="J557" s="2"/>
      <c r="K557" s="2"/>
      <c r="L557" s="2"/>
    </row>
    <row r="558" spans="1:12" ht="15.75" customHeight="1" x14ac:dyDescent="0.2">
      <c r="A558" s="2"/>
      <c r="B558" s="2"/>
      <c r="C558" s="2"/>
      <c r="D558" s="2"/>
      <c r="E558" s="2"/>
      <c r="F558" s="2"/>
      <c r="G558" s="2"/>
      <c r="H558" s="2"/>
      <c r="I558" s="2"/>
      <c r="J558" s="2"/>
      <c r="K558" s="2"/>
      <c r="L558" s="2"/>
    </row>
    <row r="559" spans="1:12" ht="15.75" customHeight="1" x14ac:dyDescent="0.2">
      <c r="A559" s="2"/>
      <c r="B559" s="2"/>
      <c r="C559" s="2"/>
      <c r="D559" s="2"/>
      <c r="E559" s="2"/>
      <c r="F559" s="2"/>
      <c r="G559" s="2"/>
      <c r="H559" s="2"/>
      <c r="I559" s="2"/>
      <c r="J559" s="2"/>
      <c r="K559" s="2"/>
      <c r="L559" s="2"/>
    </row>
    <row r="560" spans="1:12" ht="15.75" customHeight="1" x14ac:dyDescent="0.2">
      <c r="A560" s="2"/>
      <c r="B560" s="2"/>
      <c r="C560" s="2"/>
      <c r="D560" s="2"/>
      <c r="E560" s="2"/>
      <c r="F560" s="2"/>
      <c r="G560" s="2"/>
      <c r="H560" s="2"/>
      <c r="I560" s="2"/>
      <c r="J560" s="2"/>
      <c r="K560" s="2"/>
      <c r="L560" s="2"/>
    </row>
    <row r="561" spans="1:12" ht="15.75" customHeight="1" x14ac:dyDescent="0.2">
      <c r="A561" s="2"/>
      <c r="B561" s="2"/>
      <c r="C561" s="2"/>
      <c r="D561" s="2"/>
      <c r="E561" s="2"/>
      <c r="F561" s="2"/>
      <c r="G561" s="2"/>
      <c r="H561" s="2"/>
      <c r="I561" s="2"/>
      <c r="J561" s="2"/>
      <c r="K561" s="2"/>
      <c r="L561" s="2"/>
    </row>
    <row r="562" spans="1:12" ht="15.75" customHeight="1" x14ac:dyDescent="0.2">
      <c r="A562" s="2"/>
      <c r="B562" s="2"/>
      <c r="C562" s="2"/>
      <c r="D562" s="2"/>
      <c r="E562" s="2"/>
      <c r="F562" s="2"/>
      <c r="G562" s="2"/>
      <c r="H562" s="2"/>
      <c r="I562" s="2"/>
      <c r="J562" s="2"/>
      <c r="K562" s="2"/>
      <c r="L562" s="2"/>
    </row>
    <row r="563" spans="1:12" ht="15.75" customHeight="1" x14ac:dyDescent="0.2">
      <c r="A563" s="2"/>
      <c r="B563" s="2"/>
      <c r="C563" s="2"/>
      <c r="D563" s="2"/>
      <c r="E563" s="2"/>
      <c r="F563" s="2"/>
      <c r="G563" s="2"/>
      <c r="H563" s="2"/>
      <c r="I563" s="2"/>
      <c r="J563" s="2"/>
      <c r="K563" s="2"/>
      <c r="L563" s="2"/>
    </row>
    <row r="564" spans="1:12" ht="15.75" customHeight="1" x14ac:dyDescent="0.2">
      <c r="A564" s="2"/>
      <c r="B564" s="2"/>
      <c r="C564" s="2"/>
      <c r="D564" s="2"/>
      <c r="E564" s="2"/>
      <c r="F564" s="2"/>
      <c r="G564" s="2"/>
      <c r="H564" s="2"/>
      <c r="I564" s="2"/>
      <c r="J564" s="2"/>
      <c r="K564" s="2"/>
      <c r="L564" s="2"/>
    </row>
    <row r="565" spans="1:12" ht="15.75" customHeight="1" x14ac:dyDescent="0.2">
      <c r="A565" s="2"/>
      <c r="B565" s="2"/>
      <c r="C565" s="2"/>
      <c r="D565" s="2"/>
      <c r="E565" s="2"/>
      <c r="F565" s="2"/>
      <c r="G565" s="2"/>
      <c r="H565" s="2"/>
      <c r="I565" s="2"/>
      <c r="J565" s="2"/>
      <c r="K565" s="2"/>
      <c r="L565" s="2"/>
    </row>
    <row r="566" spans="1:12" ht="15.75" customHeight="1" x14ac:dyDescent="0.2">
      <c r="A566" s="2"/>
      <c r="B566" s="2"/>
      <c r="C566" s="2"/>
      <c r="D566" s="2"/>
      <c r="E566" s="2"/>
      <c r="F566" s="2"/>
      <c r="G566" s="2"/>
      <c r="H566" s="2"/>
      <c r="I566" s="2"/>
      <c r="J566" s="2"/>
      <c r="K566" s="2"/>
      <c r="L566" s="2"/>
    </row>
    <row r="567" spans="1:12" ht="15.75" customHeight="1" x14ac:dyDescent="0.2">
      <c r="A567" s="2"/>
      <c r="B567" s="2"/>
      <c r="C567" s="2"/>
      <c r="D567" s="2"/>
      <c r="E567" s="2"/>
      <c r="F567" s="2"/>
      <c r="G567" s="2"/>
      <c r="H567" s="2"/>
      <c r="I567" s="2"/>
      <c r="J567" s="2"/>
      <c r="K567" s="2"/>
      <c r="L567" s="2"/>
    </row>
    <row r="568" spans="1:12" ht="15.75" customHeight="1" x14ac:dyDescent="0.2">
      <c r="A568" s="2"/>
      <c r="B568" s="2"/>
      <c r="C568" s="2"/>
      <c r="D568" s="2"/>
      <c r="E568" s="2"/>
      <c r="F568" s="2"/>
      <c r="G568" s="2"/>
      <c r="H568" s="2"/>
      <c r="I568" s="2"/>
      <c r="J568" s="2"/>
      <c r="K568" s="2"/>
      <c r="L568" s="2"/>
    </row>
    <row r="569" spans="1:12" ht="15.75" customHeight="1" x14ac:dyDescent="0.2">
      <c r="A569" s="2"/>
      <c r="B569" s="2"/>
      <c r="C569" s="2"/>
      <c r="D569" s="2"/>
      <c r="E569" s="2"/>
      <c r="F569" s="2"/>
      <c r="G569" s="2"/>
      <c r="H569" s="2"/>
      <c r="I569" s="2"/>
      <c r="J569" s="2"/>
      <c r="K569" s="2"/>
      <c r="L569" s="2"/>
    </row>
    <row r="570" spans="1:12" ht="15.75" customHeight="1" x14ac:dyDescent="0.2">
      <c r="A570" s="2"/>
      <c r="B570" s="2"/>
      <c r="C570" s="2"/>
      <c r="D570" s="2"/>
      <c r="E570" s="2"/>
      <c r="F570" s="2"/>
      <c r="G570" s="2"/>
      <c r="H570" s="2"/>
      <c r="I570" s="2"/>
      <c r="J570" s="2"/>
      <c r="K570" s="2"/>
      <c r="L570" s="2"/>
    </row>
    <row r="571" spans="1:12" ht="15.75" customHeight="1" x14ac:dyDescent="0.2">
      <c r="A571" s="2"/>
      <c r="B571" s="2"/>
      <c r="C571" s="2"/>
      <c r="D571" s="2"/>
      <c r="E571" s="2"/>
      <c r="F571" s="2"/>
      <c r="G571" s="2"/>
      <c r="H571" s="2"/>
      <c r="I571" s="2"/>
      <c r="J571" s="2"/>
      <c r="K571" s="2"/>
      <c r="L571" s="2"/>
    </row>
    <row r="572" spans="1:12" ht="15.75" customHeight="1" x14ac:dyDescent="0.2">
      <c r="A572" s="2"/>
      <c r="B572" s="2"/>
      <c r="C572" s="2"/>
      <c r="D572" s="2"/>
      <c r="E572" s="2"/>
      <c r="F572" s="2"/>
      <c r="G572" s="2"/>
      <c r="H572" s="2"/>
      <c r="I572" s="2"/>
      <c r="J572" s="2"/>
      <c r="K572" s="2"/>
      <c r="L572" s="2"/>
    </row>
    <row r="573" spans="1:12" ht="15.75" customHeight="1" x14ac:dyDescent="0.2">
      <c r="A573" s="2"/>
      <c r="B573" s="2"/>
      <c r="C573" s="2"/>
      <c r="D573" s="2"/>
      <c r="E573" s="2"/>
      <c r="F573" s="2"/>
      <c r="G573" s="2"/>
      <c r="H573" s="2"/>
      <c r="I573" s="2"/>
      <c r="J573" s="2"/>
      <c r="K573" s="2"/>
      <c r="L573" s="2"/>
    </row>
    <row r="574" spans="1:12" ht="15.75" customHeight="1" x14ac:dyDescent="0.2">
      <c r="A574" s="2"/>
      <c r="B574" s="2"/>
      <c r="C574" s="2"/>
      <c r="D574" s="2"/>
      <c r="E574" s="2"/>
      <c r="F574" s="2"/>
      <c r="G574" s="2"/>
      <c r="H574" s="2"/>
      <c r="I574" s="2"/>
      <c r="J574" s="2"/>
      <c r="K574" s="2"/>
      <c r="L574" s="2"/>
    </row>
    <row r="575" spans="1:12" ht="15.75" customHeight="1" x14ac:dyDescent="0.2">
      <c r="A575" s="2"/>
      <c r="B575" s="2"/>
      <c r="C575" s="2"/>
      <c r="D575" s="2"/>
      <c r="E575" s="2"/>
      <c r="F575" s="2"/>
      <c r="G575" s="2"/>
      <c r="H575" s="2"/>
      <c r="I575" s="2"/>
      <c r="J575" s="2"/>
      <c r="K575" s="2"/>
      <c r="L575" s="2"/>
    </row>
    <row r="576" spans="1:12" ht="15.75" customHeight="1" x14ac:dyDescent="0.2">
      <c r="A576" s="2"/>
      <c r="B576" s="2"/>
      <c r="C576" s="2"/>
      <c r="D576" s="2"/>
      <c r="E576" s="2"/>
      <c r="F576" s="2"/>
      <c r="G576" s="2"/>
      <c r="H576" s="2"/>
      <c r="I576" s="2"/>
      <c r="J576" s="2"/>
      <c r="K576" s="2"/>
      <c r="L576" s="2"/>
    </row>
    <row r="577" spans="1:12" ht="15.75" customHeight="1" x14ac:dyDescent="0.2">
      <c r="A577" s="2"/>
      <c r="B577" s="2"/>
      <c r="C577" s="2"/>
      <c r="D577" s="2"/>
      <c r="E577" s="2"/>
      <c r="F577" s="2"/>
      <c r="G577" s="2"/>
      <c r="H577" s="2"/>
      <c r="I577" s="2"/>
      <c r="J577" s="2"/>
      <c r="K577" s="2"/>
      <c r="L577" s="2"/>
    </row>
    <row r="578" spans="1:12" ht="15.75" customHeight="1" x14ac:dyDescent="0.2">
      <c r="A578" s="2"/>
      <c r="B578" s="2"/>
      <c r="C578" s="2"/>
      <c r="D578" s="2"/>
      <c r="E578" s="2"/>
      <c r="F578" s="2"/>
      <c r="G578" s="2"/>
      <c r="H578" s="2"/>
      <c r="I578" s="2"/>
      <c r="J578" s="2"/>
      <c r="K578" s="2"/>
      <c r="L578" s="2"/>
    </row>
    <row r="579" spans="1:12" ht="15.75" customHeight="1" x14ac:dyDescent="0.2">
      <c r="A579" s="2"/>
      <c r="B579" s="2"/>
      <c r="C579" s="2"/>
      <c r="D579" s="2"/>
      <c r="E579" s="2"/>
      <c r="F579" s="2"/>
      <c r="G579" s="2"/>
      <c r="H579" s="2"/>
      <c r="I579" s="2"/>
      <c r="J579" s="2"/>
      <c r="K579" s="2"/>
      <c r="L579" s="2"/>
    </row>
    <row r="580" spans="1:12" ht="15.75" customHeight="1" x14ac:dyDescent="0.2">
      <c r="A580" s="2"/>
      <c r="B580" s="2"/>
      <c r="C580" s="2"/>
      <c r="D580" s="2"/>
      <c r="E580" s="2"/>
      <c r="F580" s="2"/>
      <c r="G580" s="2"/>
      <c r="H580" s="2"/>
      <c r="I580" s="2"/>
      <c r="J580" s="2"/>
      <c r="K580" s="2"/>
      <c r="L580" s="2"/>
    </row>
    <row r="581" spans="1:12" ht="15.75" customHeight="1" x14ac:dyDescent="0.2">
      <c r="A581" s="2"/>
      <c r="B581" s="2"/>
      <c r="C581" s="2"/>
      <c r="D581" s="2"/>
      <c r="E581" s="2"/>
      <c r="F581" s="2"/>
      <c r="G581" s="2"/>
      <c r="H581" s="2"/>
      <c r="I581" s="2"/>
      <c r="J581" s="2"/>
      <c r="K581" s="2"/>
      <c r="L581" s="2"/>
    </row>
    <row r="582" spans="1:12" ht="15.75" customHeight="1" x14ac:dyDescent="0.2">
      <c r="A582" s="2"/>
      <c r="B582" s="2"/>
      <c r="C582" s="2"/>
      <c r="D582" s="2"/>
      <c r="E582" s="2"/>
      <c r="F582" s="2"/>
      <c r="G582" s="2"/>
      <c r="H582" s="2"/>
      <c r="I582" s="2"/>
      <c r="J582" s="2"/>
      <c r="K582" s="2"/>
      <c r="L582" s="2"/>
    </row>
    <row r="583" spans="1:12" ht="15.75" customHeight="1" x14ac:dyDescent="0.2">
      <c r="A583" s="2"/>
      <c r="B583" s="2"/>
      <c r="C583" s="2"/>
      <c r="D583" s="2"/>
      <c r="E583" s="2"/>
      <c r="F583" s="2"/>
      <c r="G583" s="2"/>
      <c r="H583" s="2"/>
      <c r="I583" s="2"/>
      <c r="J583" s="2"/>
      <c r="K583" s="2"/>
      <c r="L583" s="2"/>
    </row>
    <row r="584" spans="1:12" ht="15.75" customHeight="1" x14ac:dyDescent="0.2">
      <c r="A584" s="2"/>
      <c r="B584" s="2"/>
      <c r="C584" s="2"/>
      <c r="D584" s="2"/>
      <c r="E584" s="2"/>
      <c r="F584" s="2"/>
      <c r="G584" s="2"/>
      <c r="H584" s="2"/>
      <c r="I584" s="2"/>
      <c r="J584" s="2"/>
      <c r="K584" s="2"/>
      <c r="L584" s="2"/>
    </row>
    <row r="585" spans="1:12" ht="15.75" customHeight="1" x14ac:dyDescent="0.2">
      <c r="A585" s="2"/>
      <c r="B585" s="2"/>
      <c r="C585" s="2"/>
      <c r="D585" s="2"/>
      <c r="E585" s="2"/>
      <c r="F585" s="2"/>
      <c r="G585" s="2"/>
      <c r="H585" s="2"/>
      <c r="I585" s="2"/>
      <c r="J585" s="2"/>
      <c r="K585" s="2"/>
      <c r="L585" s="2"/>
    </row>
    <row r="586" spans="1:12" ht="15.75" customHeight="1" x14ac:dyDescent="0.2">
      <c r="A586" s="2"/>
      <c r="B586" s="2"/>
      <c r="C586" s="2"/>
      <c r="D586" s="2"/>
      <c r="E586" s="2"/>
      <c r="F586" s="2"/>
      <c r="G586" s="2"/>
      <c r="H586" s="2"/>
      <c r="I586" s="2"/>
      <c r="J586" s="2"/>
      <c r="K586" s="2"/>
      <c r="L586" s="2"/>
    </row>
    <row r="587" spans="1:12" ht="15.75" customHeight="1" x14ac:dyDescent="0.2">
      <c r="A587" s="2"/>
      <c r="B587" s="2"/>
      <c r="C587" s="2"/>
      <c r="D587" s="2"/>
      <c r="E587" s="2"/>
      <c r="F587" s="2"/>
      <c r="G587" s="2"/>
      <c r="H587" s="2"/>
      <c r="I587" s="2"/>
      <c r="J587" s="2"/>
      <c r="K587" s="2"/>
      <c r="L587" s="2"/>
    </row>
    <row r="588" spans="1:12" ht="15.75" customHeight="1" x14ac:dyDescent="0.2">
      <c r="A588" s="2"/>
      <c r="B588" s="2"/>
      <c r="C588" s="2"/>
      <c r="D588" s="2"/>
      <c r="E588" s="2"/>
      <c r="F588" s="2"/>
      <c r="G588" s="2"/>
      <c r="H588" s="2"/>
      <c r="I588" s="2"/>
      <c r="J588" s="2"/>
      <c r="K588" s="2"/>
      <c r="L588" s="2"/>
    </row>
    <row r="589" spans="1:12" ht="15.75" customHeight="1" x14ac:dyDescent="0.2">
      <c r="A589" s="2"/>
      <c r="B589" s="2"/>
      <c r="C589" s="2"/>
      <c r="D589" s="2"/>
      <c r="E589" s="2"/>
      <c r="F589" s="2"/>
      <c r="G589" s="2"/>
      <c r="H589" s="2"/>
      <c r="I589" s="2"/>
      <c r="J589" s="2"/>
      <c r="K589" s="2"/>
      <c r="L589" s="2"/>
    </row>
    <row r="590" spans="1:12" ht="15.75" customHeight="1" x14ac:dyDescent="0.2">
      <c r="A590" s="2"/>
      <c r="B590" s="2"/>
      <c r="C590" s="2"/>
      <c r="D590" s="2"/>
      <c r="E590" s="2"/>
      <c r="F590" s="2"/>
      <c r="G590" s="2"/>
      <c r="H590" s="2"/>
      <c r="I590" s="2"/>
      <c r="J590" s="2"/>
      <c r="K590" s="2"/>
      <c r="L590" s="2"/>
    </row>
    <row r="591" spans="1:12" ht="15.75" customHeight="1" x14ac:dyDescent="0.2">
      <c r="A591" s="2"/>
      <c r="B591" s="2"/>
      <c r="C591" s="2"/>
      <c r="D591" s="2"/>
      <c r="E591" s="2"/>
      <c r="F591" s="2"/>
      <c r="G591" s="2"/>
      <c r="H591" s="2"/>
      <c r="I591" s="2"/>
      <c r="J591" s="2"/>
      <c r="K591" s="2"/>
      <c r="L591" s="2"/>
    </row>
    <row r="592" spans="1:12" ht="15.75" customHeight="1" x14ac:dyDescent="0.2">
      <c r="A592" s="2"/>
      <c r="B592" s="2"/>
      <c r="C592" s="2"/>
      <c r="D592" s="2"/>
      <c r="E592" s="2"/>
      <c r="F592" s="2"/>
      <c r="G592" s="2"/>
      <c r="H592" s="2"/>
      <c r="I592" s="2"/>
      <c r="J592" s="2"/>
      <c r="K592" s="2"/>
      <c r="L592" s="2"/>
    </row>
    <row r="593" spans="1:12" ht="15.75" customHeight="1" x14ac:dyDescent="0.2">
      <c r="A593" s="2"/>
      <c r="B593" s="2"/>
      <c r="C593" s="2"/>
      <c r="D593" s="2"/>
      <c r="E593" s="2"/>
      <c r="F593" s="2"/>
      <c r="G593" s="2"/>
      <c r="H593" s="2"/>
      <c r="I593" s="2"/>
      <c r="J593" s="2"/>
      <c r="K593" s="2"/>
      <c r="L593" s="2"/>
    </row>
    <row r="594" spans="1:12" ht="15.75" customHeight="1" x14ac:dyDescent="0.2">
      <c r="A594" s="2"/>
      <c r="B594" s="2"/>
      <c r="C594" s="2"/>
      <c r="D594" s="2"/>
      <c r="E594" s="2"/>
      <c r="F594" s="2"/>
      <c r="G594" s="2"/>
      <c r="H594" s="2"/>
      <c r="I594" s="2"/>
      <c r="J594" s="2"/>
      <c r="K594" s="2"/>
      <c r="L594" s="2"/>
    </row>
    <row r="595" spans="1:12" ht="15.75" customHeight="1" x14ac:dyDescent="0.2">
      <c r="A595" s="2"/>
      <c r="B595" s="2"/>
      <c r="C595" s="2"/>
      <c r="D595" s="2"/>
      <c r="E595" s="2"/>
      <c r="F595" s="2"/>
      <c r="G595" s="2"/>
      <c r="H595" s="2"/>
      <c r="I595" s="2"/>
      <c r="J595" s="2"/>
      <c r="K595" s="2"/>
      <c r="L595" s="2"/>
    </row>
    <row r="596" spans="1:12" ht="15.75" customHeight="1" x14ac:dyDescent="0.2">
      <c r="A596" s="2"/>
      <c r="B596" s="2"/>
      <c r="C596" s="2"/>
      <c r="D596" s="2"/>
      <c r="E596" s="2"/>
      <c r="F596" s="2"/>
      <c r="G596" s="2"/>
      <c r="H596" s="2"/>
      <c r="I596" s="2"/>
      <c r="J596" s="2"/>
      <c r="K596" s="2"/>
      <c r="L596" s="2"/>
    </row>
    <row r="597" spans="1:12" ht="15.75" customHeight="1" x14ac:dyDescent="0.2">
      <c r="A597" s="2"/>
      <c r="B597" s="2"/>
      <c r="C597" s="2"/>
      <c r="D597" s="2"/>
      <c r="E597" s="2"/>
      <c r="F597" s="2"/>
      <c r="G597" s="2"/>
      <c r="H597" s="2"/>
      <c r="I597" s="2"/>
      <c r="J597" s="2"/>
      <c r="K597" s="2"/>
      <c r="L597" s="2"/>
    </row>
    <row r="598" spans="1:12" ht="15.75" customHeight="1" x14ac:dyDescent="0.2">
      <c r="A598" s="2"/>
      <c r="B598" s="2"/>
      <c r="C598" s="2"/>
      <c r="D598" s="2"/>
      <c r="E598" s="2"/>
      <c r="F598" s="2"/>
      <c r="G598" s="2"/>
      <c r="H598" s="2"/>
      <c r="I598" s="2"/>
      <c r="J598" s="2"/>
      <c r="K598" s="2"/>
      <c r="L598" s="2"/>
    </row>
    <row r="599" spans="1:12" ht="15.75" customHeight="1" x14ac:dyDescent="0.2">
      <c r="A599" s="2"/>
      <c r="B599" s="2"/>
      <c r="C599" s="2"/>
      <c r="D599" s="2"/>
      <c r="E599" s="2"/>
      <c r="F599" s="2"/>
      <c r="G599" s="2"/>
      <c r="H599" s="2"/>
      <c r="I599" s="2"/>
      <c r="J599" s="2"/>
      <c r="K599" s="2"/>
      <c r="L599" s="2"/>
    </row>
    <row r="600" spans="1:12" ht="15.75" customHeight="1" x14ac:dyDescent="0.2">
      <c r="A600" s="2"/>
      <c r="B600" s="2"/>
      <c r="C600" s="2"/>
      <c r="D600" s="2"/>
      <c r="E600" s="2"/>
      <c r="F600" s="2"/>
      <c r="G600" s="2"/>
      <c r="H600" s="2"/>
      <c r="I600" s="2"/>
      <c r="J600" s="2"/>
      <c r="K600" s="2"/>
      <c r="L600" s="2"/>
    </row>
    <row r="601" spans="1:12" ht="15.75" customHeight="1" x14ac:dyDescent="0.2">
      <c r="A601" s="2"/>
      <c r="B601" s="2"/>
      <c r="C601" s="2"/>
      <c r="D601" s="2"/>
      <c r="E601" s="2"/>
      <c r="F601" s="2"/>
      <c r="G601" s="2"/>
      <c r="H601" s="2"/>
      <c r="I601" s="2"/>
      <c r="J601" s="2"/>
      <c r="K601" s="2"/>
      <c r="L601" s="2"/>
    </row>
    <row r="602" spans="1:12" ht="15.75" customHeight="1" x14ac:dyDescent="0.2">
      <c r="A602" s="2"/>
      <c r="B602" s="2"/>
      <c r="C602" s="2"/>
      <c r="D602" s="2"/>
      <c r="E602" s="2"/>
      <c r="F602" s="2"/>
      <c r="G602" s="2"/>
      <c r="H602" s="2"/>
      <c r="I602" s="2"/>
      <c r="J602" s="2"/>
      <c r="K602" s="2"/>
      <c r="L602" s="2"/>
    </row>
    <row r="603" spans="1:12" ht="15.75" customHeight="1" x14ac:dyDescent="0.2">
      <c r="A603" s="2"/>
      <c r="B603" s="2"/>
      <c r="C603" s="2"/>
      <c r="D603" s="2"/>
      <c r="E603" s="2"/>
      <c r="F603" s="2"/>
      <c r="G603" s="2"/>
      <c r="H603" s="2"/>
      <c r="I603" s="2"/>
      <c r="J603" s="2"/>
      <c r="K603" s="2"/>
      <c r="L603" s="2"/>
    </row>
    <row r="604" spans="1:12" ht="15.75" customHeight="1" x14ac:dyDescent="0.2">
      <c r="A604" s="2"/>
      <c r="B604" s="2"/>
      <c r="C604" s="2"/>
      <c r="D604" s="2"/>
      <c r="E604" s="2"/>
      <c r="F604" s="2"/>
      <c r="G604" s="2"/>
      <c r="H604" s="2"/>
      <c r="I604" s="2"/>
      <c r="J604" s="2"/>
      <c r="K604" s="2"/>
      <c r="L604" s="2"/>
    </row>
    <row r="605" spans="1:12" ht="15.75" customHeight="1" x14ac:dyDescent="0.2">
      <c r="A605" s="2"/>
      <c r="B605" s="2"/>
      <c r="C605" s="2"/>
      <c r="D605" s="2"/>
      <c r="E605" s="2"/>
      <c r="F605" s="2"/>
      <c r="G605" s="2"/>
      <c r="H605" s="2"/>
      <c r="I605" s="2"/>
      <c r="J605" s="2"/>
      <c r="K605" s="2"/>
      <c r="L605" s="2"/>
    </row>
    <row r="606" spans="1:12" ht="15.75" customHeight="1" x14ac:dyDescent="0.2">
      <c r="A606" s="2"/>
      <c r="B606" s="2"/>
      <c r="C606" s="2"/>
      <c r="D606" s="2"/>
      <c r="E606" s="2"/>
      <c r="F606" s="2"/>
      <c r="G606" s="2"/>
      <c r="H606" s="2"/>
      <c r="I606" s="2"/>
      <c r="J606" s="2"/>
      <c r="K606" s="2"/>
      <c r="L606" s="2"/>
    </row>
    <row r="607" spans="1:12" ht="15.75" customHeight="1" x14ac:dyDescent="0.2">
      <c r="A607" s="2"/>
      <c r="B607" s="2"/>
      <c r="C607" s="2"/>
      <c r="D607" s="2"/>
      <c r="E607" s="2"/>
      <c r="F607" s="2"/>
      <c r="G607" s="2"/>
      <c r="H607" s="2"/>
      <c r="I607" s="2"/>
      <c r="J607" s="2"/>
      <c r="K607" s="2"/>
      <c r="L607" s="2"/>
    </row>
    <row r="608" spans="1:12" ht="15.75" customHeight="1" x14ac:dyDescent="0.2">
      <c r="A608" s="2"/>
      <c r="B608" s="2"/>
      <c r="C608" s="2"/>
      <c r="D608" s="2"/>
      <c r="E608" s="2"/>
      <c r="F608" s="2"/>
      <c r="G608" s="2"/>
      <c r="H608" s="2"/>
      <c r="I608" s="2"/>
      <c r="J608" s="2"/>
      <c r="K608" s="2"/>
      <c r="L608" s="2"/>
    </row>
    <row r="609" spans="1:12" ht="15.75" customHeight="1" x14ac:dyDescent="0.2">
      <c r="A609" s="2"/>
      <c r="B609" s="2"/>
      <c r="C609" s="2"/>
      <c r="D609" s="2"/>
      <c r="E609" s="2"/>
      <c r="F609" s="2"/>
      <c r="G609" s="2"/>
      <c r="H609" s="2"/>
      <c r="I609" s="2"/>
      <c r="J609" s="2"/>
      <c r="K609" s="2"/>
      <c r="L609" s="2"/>
    </row>
    <row r="610" spans="1:12" ht="15.75" customHeight="1" x14ac:dyDescent="0.2">
      <c r="A610" s="2"/>
      <c r="B610" s="2"/>
      <c r="C610" s="2"/>
      <c r="D610" s="2"/>
      <c r="E610" s="2"/>
      <c r="F610" s="2"/>
      <c r="G610" s="2"/>
      <c r="H610" s="2"/>
      <c r="I610" s="2"/>
      <c r="J610" s="2"/>
      <c r="K610" s="2"/>
      <c r="L610" s="2"/>
    </row>
    <row r="611" spans="1:12" ht="15.75" customHeight="1" x14ac:dyDescent="0.2">
      <c r="A611" s="2"/>
      <c r="B611" s="2"/>
      <c r="C611" s="2"/>
      <c r="D611" s="2"/>
      <c r="E611" s="2"/>
      <c r="F611" s="2"/>
      <c r="G611" s="2"/>
      <c r="H611" s="2"/>
      <c r="I611" s="2"/>
      <c r="J611" s="2"/>
      <c r="K611" s="2"/>
      <c r="L611" s="2"/>
    </row>
    <row r="612" spans="1:12" ht="15.75" customHeight="1" x14ac:dyDescent="0.2">
      <c r="A612" s="2"/>
      <c r="B612" s="2"/>
      <c r="C612" s="2"/>
      <c r="D612" s="2"/>
      <c r="E612" s="2"/>
      <c r="F612" s="2"/>
      <c r="G612" s="2"/>
      <c r="H612" s="2"/>
      <c r="I612" s="2"/>
      <c r="J612" s="2"/>
      <c r="K612" s="2"/>
      <c r="L612" s="2"/>
    </row>
    <row r="613" spans="1:12" ht="15.75" customHeight="1" x14ac:dyDescent="0.2">
      <c r="A613" s="2"/>
      <c r="B613" s="2"/>
      <c r="C613" s="2"/>
      <c r="D613" s="2"/>
      <c r="E613" s="2"/>
      <c r="F613" s="2"/>
      <c r="G613" s="2"/>
      <c r="H613" s="2"/>
      <c r="I613" s="2"/>
      <c r="J613" s="2"/>
      <c r="K613" s="2"/>
      <c r="L613" s="2"/>
    </row>
    <row r="614" spans="1:12" ht="15.75" customHeight="1" x14ac:dyDescent="0.2">
      <c r="A614" s="2"/>
      <c r="B614" s="2"/>
      <c r="C614" s="2"/>
      <c r="D614" s="2"/>
      <c r="E614" s="2"/>
      <c r="F614" s="2"/>
      <c r="G614" s="2"/>
      <c r="H614" s="2"/>
      <c r="I614" s="2"/>
      <c r="J614" s="2"/>
      <c r="K614" s="2"/>
      <c r="L614" s="2"/>
    </row>
    <row r="615" spans="1:12" ht="15.75" customHeight="1" x14ac:dyDescent="0.2">
      <c r="A615" s="2"/>
      <c r="B615" s="2"/>
      <c r="C615" s="2"/>
      <c r="D615" s="2"/>
      <c r="E615" s="2"/>
      <c r="F615" s="2"/>
      <c r="G615" s="2"/>
      <c r="H615" s="2"/>
      <c r="I615" s="2"/>
      <c r="J615" s="2"/>
      <c r="K615" s="2"/>
      <c r="L615" s="2"/>
    </row>
    <row r="616" spans="1:12" ht="15.75" customHeight="1" x14ac:dyDescent="0.2">
      <c r="A616" s="2"/>
      <c r="B616" s="2"/>
      <c r="C616" s="2"/>
      <c r="D616" s="2"/>
      <c r="E616" s="2"/>
      <c r="F616" s="2"/>
      <c r="G616" s="2"/>
      <c r="H616" s="2"/>
      <c r="I616" s="2"/>
      <c r="J616" s="2"/>
      <c r="K616" s="2"/>
      <c r="L616" s="2"/>
    </row>
    <row r="617" spans="1:12" ht="15.75" customHeight="1" x14ac:dyDescent="0.2">
      <c r="A617" s="2"/>
      <c r="B617" s="2"/>
      <c r="C617" s="2"/>
      <c r="D617" s="2"/>
      <c r="E617" s="2"/>
      <c r="F617" s="2"/>
      <c r="G617" s="2"/>
      <c r="H617" s="2"/>
      <c r="I617" s="2"/>
      <c r="J617" s="2"/>
      <c r="K617" s="2"/>
      <c r="L617" s="2"/>
    </row>
    <row r="618" spans="1:12" ht="15.75" customHeight="1" x14ac:dyDescent="0.2">
      <c r="A618" s="2"/>
      <c r="B618" s="2"/>
      <c r="C618" s="2"/>
      <c r="D618" s="2"/>
      <c r="E618" s="2"/>
      <c r="F618" s="2"/>
      <c r="G618" s="2"/>
      <c r="H618" s="2"/>
      <c r="I618" s="2"/>
      <c r="J618" s="2"/>
      <c r="K618" s="2"/>
      <c r="L618" s="2"/>
    </row>
    <row r="619" spans="1:12" ht="15.75" customHeight="1" x14ac:dyDescent="0.2">
      <c r="A619" s="2"/>
      <c r="B619" s="2"/>
      <c r="C619" s="2"/>
      <c r="D619" s="2"/>
      <c r="E619" s="2"/>
      <c r="F619" s="2"/>
      <c r="G619" s="2"/>
      <c r="H619" s="2"/>
      <c r="I619" s="2"/>
      <c r="J619" s="2"/>
      <c r="K619" s="2"/>
      <c r="L619" s="2"/>
    </row>
    <row r="620" spans="1:12" ht="15.75" customHeight="1" x14ac:dyDescent="0.2">
      <c r="A620" s="2"/>
      <c r="B620" s="2"/>
      <c r="C620" s="2"/>
      <c r="D620" s="2"/>
      <c r="E620" s="2"/>
      <c r="F620" s="2"/>
      <c r="G620" s="2"/>
      <c r="H620" s="2"/>
      <c r="I620" s="2"/>
      <c r="J620" s="2"/>
      <c r="K620" s="2"/>
      <c r="L620" s="2"/>
    </row>
    <row r="621" spans="1:12" ht="15.75" customHeight="1" x14ac:dyDescent="0.2">
      <c r="A621" s="2"/>
      <c r="B621" s="2"/>
      <c r="C621" s="2"/>
      <c r="D621" s="2"/>
      <c r="E621" s="2"/>
      <c r="F621" s="2"/>
      <c r="G621" s="2"/>
      <c r="H621" s="2"/>
      <c r="I621" s="2"/>
      <c r="J621" s="2"/>
      <c r="K621" s="2"/>
      <c r="L621" s="2"/>
    </row>
    <row r="622" spans="1:12" ht="15.75" customHeight="1" x14ac:dyDescent="0.2">
      <c r="A622" s="2"/>
      <c r="B622" s="2"/>
      <c r="C622" s="2"/>
      <c r="D622" s="2"/>
      <c r="E622" s="2"/>
      <c r="F622" s="2"/>
      <c r="G622" s="2"/>
      <c r="H622" s="2"/>
      <c r="I622" s="2"/>
      <c r="J622" s="2"/>
      <c r="K622" s="2"/>
      <c r="L622" s="2"/>
    </row>
    <row r="623" spans="1:12" ht="15.75" customHeight="1" x14ac:dyDescent="0.2">
      <c r="A623" s="2"/>
      <c r="B623" s="2"/>
      <c r="C623" s="2"/>
      <c r="D623" s="2"/>
      <c r="E623" s="2"/>
      <c r="F623" s="2"/>
      <c r="G623" s="2"/>
      <c r="H623" s="2"/>
      <c r="I623" s="2"/>
      <c r="J623" s="2"/>
      <c r="K623" s="2"/>
      <c r="L623" s="2"/>
    </row>
    <row r="624" spans="1:12" ht="15.75" customHeight="1" x14ac:dyDescent="0.2">
      <c r="A624" s="2"/>
      <c r="B624" s="2"/>
      <c r="C624" s="2"/>
      <c r="D624" s="2"/>
      <c r="E624" s="2"/>
      <c r="F624" s="2"/>
      <c r="G624" s="2"/>
      <c r="H624" s="2"/>
      <c r="I624" s="2"/>
      <c r="J624" s="2"/>
      <c r="K624" s="2"/>
      <c r="L624" s="2"/>
    </row>
    <row r="625" spans="1:12" ht="15.75" customHeight="1" x14ac:dyDescent="0.2">
      <c r="A625" s="2"/>
      <c r="B625" s="2"/>
      <c r="C625" s="2"/>
      <c r="D625" s="2"/>
      <c r="E625" s="2"/>
      <c r="F625" s="2"/>
      <c r="G625" s="2"/>
      <c r="H625" s="2"/>
      <c r="I625" s="2"/>
      <c r="J625" s="2"/>
      <c r="K625" s="2"/>
      <c r="L625" s="2"/>
    </row>
    <row r="626" spans="1:12" ht="15.75" customHeight="1" x14ac:dyDescent="0.2">
      <c r="A626" s="2"/>
      <c r="B626" s="2"/>
      <c r="C626" s="2"/>
      <c r="D626" s="2"/>
      <c r="E626" s="2"/>
      <c r="F626" s="2"/>
      <c r="G626" s="2"/>
      <c r="H626" s="2"/>
      <c r="I626" s="2"/>
      <c r="J626" s="2"/>
      <c r="K626" s="2"/>
      <c r="L626" s="2"/>
    </row>
    <row r="627" spans="1:12" ht="15.75" customHeight="1" x14ac:dyDescent="0.2">
      <c r="A627" s="2"/>
      <c r="B627" s="2"/>
      <c r="C627" s="2"/>
      <c r="D627" s="2"/>
      <c r="E627" s="2"/>
      <c r="F627" s="2"/>
      <c r="G627" s="2"/>
      <c r="H627" s="2"/>
      <c r="I627" s="2"/>
      <c r="J627" s="2"/>
      <c r="K627" s="2"/>
      <c r="L627" s="2"/>
    </row>
    <row r="628" spans="1:12" ht="15.75" customHeight="1" x14ac:dyDescent="0.2">
      <c r="A628" s="2"/>
      <c r="B628" s="2"/>
      <c r="C628" s="2"/>
      <c r="D628" s="2"/>
      <c r="E628" s="2"/>
      <c r="F628" s="2"/>
      <c r="G628" s="2"/>
      <c r="H628" s="2"/>
      <c r="I628" s="2"/>
      <c r="J628" s="2"/>
      <c r="K628" s="2"/>
      <c r="L628" s="2"/>
    </row>
    <row r="629" spans="1:12" ht="15.75" customHeight="1" x14ac:dyDescent="0.2">
      <c r="A629" s="2"/>
      <c r="B629" s="2"/>
      <c r="C629" s="2"/>
      <c r="D629" s="2"/>
      <c r="E629" s="2"/>
      <c r="F629" s="2"/>
      <c r="G629" s="2"/>
      <c r="H629" s="2"/>
      <c r="I629" s="2"/>
      <c r="J629" s="2"/>
      <c r="K629" s="2"/>
      <c r="L629" s="2"/>
    </row>
    <row r="630" spans="1:12" ht="15.75" customHeight="1" x14ac:dyDescent="0.2">
      <c r="A630" s="2"/>
      <c r="B630" s="2"/>
      <c r="C630" s="2"/>
      <c r="D630" s="2"/>
      <c r="E630" s="2"/>
      <c r="F630" s="2"/>
      <c r="G630" s="2"/>
      <c r="H630" s="2"/>
      <c r="I630" s="2"/>
      <c r="J630" s="2"/>
      <c r="K630" s="2"/>
      <c r="L630" s="2"/>
    </row>
    <row r="631" spans="1:12" ht="15.75" customHeight="1" x14ac:dyDescent="0.2">
      <c r="A631" s="2"/>
      <c r="B631" s="2"/>
      <c r="C631" s="2"/>
      <c r="D631" s="2"/>
      <c r="E631" s="2"/>
      <c r="F631" s="2"/>
      <c r="G631" s="2"/>
      <c r="H631" s="2"/>
      <c r="I631" s="2"/>
      <c r="J631" s="2"/>
      <c r="K631" s="2"/>
      <c r="L631" s="2"/>
    </row>
    <row r="632" spans="1:12" ht="15.75" customHeight="1" x14ac:dyDescent="0.2">
      <c r="A632" s="2"/>
      <c r="B632" s="2"/>
      <c r="C632" s="2"/>
      <c r="D632" s="2"/>
      <c r="E632" s="2"/>
      <c r="F632" s="2"/>
      <c r="G632" s="2"/>
      <c r="H632" s="2"/>
      <c r="I632" s="2"/>
      <c r="J632" s="2"/>
      <c r="K632" s="2"/>
      <c r="L632" s="2"/>
    </row>
    <row r="633" spans="1:12" ht="15.75" customHeight="1" x14ac:dyDescent="0.2">
      <c r="A633" s="2"/>
      <c r="B633" s="2"/>
      <c r="C633" s="2"/>
      <c r="D633" s="2"/>
      <c r="E633" s="2"/>
      <c r="F633" s="2"/>
      <c r="G633" s="2"/>
      <c r="H633" s="2"/>
      <c r="I633" s="2"/>
      <c r="J633" s="2"/>
      <c r="K633" s="2"/>
      <c r="L633" s="2"/>
    </row>
    <row r="634" spans="1:12" ht="15.75" customHeight="1" x14ac:dyDescent="0.2">
      <c r="A634" s="2"/>
      <c r="B634" s="2"/>
      <c r="C634" s="2"/>
      <c r="D634" s="2"/>
      <c r="E634" s="2"/>
      <c r="F634" s="2"/>
      <c r="G634" s="2"/>
      <c r="H634" s="2"/>
      <c r="I634" s="2"/>
      <c r="J634" s="2"/>
      <c r="K634" s="2"/>
      <c r="L634" s="2"/>
    </row>
    <row r="635" spans="1:12" ht="15.75" customHeight="1" x14ac:dyDescent="0.2">
      <c r="A635" s="2"/>
      <c r="B635" s="2"/>
      <c r="C635" s="2"/>
      <c r="D635" s="2"/>
      <c r="E635" s="2"/>
      <c r="F635" s="2"/>
      <c r="G635" s="2"/>
      <c r="H635" s="2"/>
      <c r="I635" s="2"/>
      <c r="J635" s="2"/>
      <c r="K635" s="2"/>
      <c r="L635" s="2"/>
    </row>
    <row r="636" spans="1:12" ht="15.75" customHeight="1" x14ac:dyDescent="0.2">
      <c r="A636" s="2"/>
      <c r="B636" s="2"/>
      <c r="C636" s="2"/>
      <c r="D636" s="2"/>
      <c r="E636" s="2"/>
      <c r="F636" s="2"/>
      <c r="G636" s="2"/>
      <c r="H636" s="2"/>
      <c r="I636" s="2"/>
      <c r="J636" s="2"/>
      <c r="K636" s="2"/>
      <c r="L636" s="2"/>
    </row>
    <row r="637" spans="1:12" ht="15.75" customHeight="1" x14ac:dyDescent="0.2">
      <c r="A637" s="2"/>
      <c r="B637" s="2"/>
      <c r="C637" s="2"/>
      <c r="D637" s="2"/>
      <c r="E637" s="2"/>
      <c r="F637" s="2"/>
      <c r="G637" s="2"/>
      <c r="H637" s="2"/>
      <c r="I637" s="2"/>
      <c r="J637" s="2"/>
      <c r="K637" s="2"/>
      <c r="L637" s="2"/>
    </row>
    <row r="638" spans="1:12" ht="15.75" customHeight="1" x14ac:dyDescent="0.2">
      <c r="A638" s="2"/>
      <c r="B638" s="2"/>
      <c r="C638" s="2"/>
      <c r="D638" s="2"/>
      <c r="E638" s="2"/>
      <c r="F638" s="2"/>
      <c r="G638" s="2"/>
      <c r="H638" s="2"/>
      <c r="I638" s="2"/>
      <c r="J638" s="2"/>
      <c r="K638" s="2"/>
      <c r="L638" s="2"/>
    </row>
    <row r="639" spans="1:12" ht="15.75" customHeight="1" x14ac:dyDescent="0.2">
      <c r="A639" s="2"/>
      <c r="B639" s="2"/>
      <c r="C639" s="2"/>
      <c r="D639" s="2"/>
      <c r="E639" s="2"/>
      <c r="F639" s="2"/>
      <c r="G639" s="2"/>
      <c r="H639" s="2"/>
      <c r="I639" s="2"/>
      <c r="J639" s="2"/>
      <c r="K639" s="2"/>
      <c r="L639" s="2"/>
    </row>
    <row r="640" spans="1:12" ht="15.75" customHeight="1" x14ac:dyDescent="0.2">
      <c r="A640" s="2"/>
      <c r="B640" s="2"/>
      <c r="C640" s="2"/>
      <c r="D640" s="2"/>
      <c r="E640" s="2"/>
      <c r="F640" s="2"/>
      <c r="G640" s="2"/>
      <c r="H640" s="2"/>
      <c r="I640" s="2"/>
      <c r="J640" s="2"/>
      <c r="K640" s="2"/>
      <c r="L640" s="2"/>
    </row>
    <row r="641" spans="1:12" ht="15.75" customHeight="1" x14ac:dyDescent="0.2">
      <c r="A641" s="2"/>
      <c r="B641" s="2"/>
      <c r="C641" s="2"/>
      <c r="D641" s="2"/>
      <c r="E641" s="2"/>
      <c r="F641" s="2"/>
      <c r="G641" s="2"/>
      <c r="H641" s="2"/>
      <c r="I641" s="2"/>
      <c r="J641" s="2"/>
      <c r="K641" s="2"/>
      <c r="L641" s="2"/>
    </row>
    <row r="642" spans="1:12" ht="15.75" customHeight="1" x14ac:dyDescent="0.2">
      <c r="A642" s="2"/>
      <c r="B642" s="2"/>
      <c r="C642" s="2"/>
      <c r="D642" s="2"/>
      <c r="E642" s="2"/>
      <c r="F642" s="2"/>
      <c r="G642" s="2"/>
      <c r="H642" s="2"/>
      <c r="I642" s="2"/>
      <c r="J642" s="2"/>
      <c r="K642" s="2"/>
      <c r="L642" s="2"/>
    </row>
    <row r="643" spans="1:12" ht="15.75" customHeight="1" x14ac:dyDescent="0.2">
      <c r="A643" s="2"/>
      <c r="B643" s="2"/>
      <c r="C643" s="2"/>
      <c r="D643" s="2"/>
      <c r="E643" s="2"/>
      <c r="F643" s="2"/>
      <c r="G643" s="2"/>
      <c r="H643" s="2"/>
      <c r="I643" s="2"/>
      <c r="J643" s="2"/>
      <c r="K643" s="2"/>
      <c r="L643" s="2"/>
    </row>
    <row r="644" spans="1:12" ht="15.75" customHeight="1" x14ac:dyDescent="0.2">
      <c r="A644" s="2"/>
      <c r="B644" s="2"/>
      <c r="C644" s="2"/>
      <c r="D644" s="2"/>
      <c r="E644" s="2"/>
      <c r="F644" s="2"/>
      <c r="G644" s="2"/>
      <c r="H644" s="2"/>
      <c r="I644" s="2"/>
      <c r="J644" s="2"/>
      <c r="K644" s="2"/>
      <c r="L644" s="2"/>
    </row>
    <row r="645" spans="1:12" ht="15.75" customHeight="1" x14ac:dyDescent="0.2">
      <c r="A645" s="2"/>
      <c r="B645" s="2"/>
      <c r="C645" s="2"/>
      <c r="D645" s="2"/>
      <c r="E645" s="2"/>
      <c r="F645" s="2"/>
      <c r="G645" s="2"/>
      <c r="H645" s="2"/>
      <c r="I645" s="2"/>
      <c r="J645" s="2"/>
      <c r="K645" s="2"/>
      <c r="L645" s="2"/>
    </row>
    <row r="646" spans="1:12" ht="15.75" customHeight="1" x14ac:dyDescent="0.2">
      <c r="A646" s="2"/>
      <c r="B646" s="2"/>
      <c r="C646" s="2"/>
      <c r="D646" s="2"/>
      <c r="E646" s="2"/>
      <c r="F646" s="2"/>
      <c r="G646" s="2"/>
      <c r="H646" s="2"/>
      <c r="I646" s="2"/>
      <c r="J646" s="2"/>
      <c r="K646" s="2"/>
      <c r="L646" s="2"/>
    </row>
    <row r="647" spans="1:12" ht="15.75" customHeight="1" x14ac:dyDescent="0.2">
      <c r="A647" s="2"/>
      <c r="B647" s="2"/>
      <c r="C647" s="2"/>
      <c r="D647" s="2"/>
      <c r="E647" s="2"/>
      <c r="F647" s="2"/>
      <c r="G647" s="2"/>
      <c r="H647" s="2"/>
      <c r="I647" s="2"/>
      <c r="J647" s="2"/>
      <c r="K647" s="2"/>
      <c r="L647" s="2"/>
    </row>
    <row r="648" spans="1:12" ht="15.75" customHeight="1" x14ac:dyDescent="0.2">
      <c r="A648" s="2"/>
      <c r="B648" s="2"/>
      <c r="C648" s="2"/>
      <c r="D648" s="2"/>
      <c r="E648" s="2"/>
      <c r="F648" s="2"/>
      <c r="G648" s="2"/>
      <c r="H648" s="2"/>
      <c r="I648" s="2"/>
      <c r="J648" s="2"/>
      <c r="K648" s="2"/>
      <c r="L648" s="2"/>
    </row>
    <row r="649" spans="1:12" ht="15.75" customHeight="1" x14ac:dyDescent="0.2">
      <c r="A649" s="2"/>
      <c r="B649" s="2"/>
      <c r="C649" s="2"/>
      <c r="D649" s="2"/>
      <c r="E649" s="2"/>
      <c r="F649" s="2"/>
      <c r="G649" s="2"/>
      <c r="H649" s="2"/>
      <c r="I649" s="2"/>
      <c r="J649" s="2"/>
      <c r="K649" s="2"/>
      <c r="L649" s="2"/>
    </row>
    <row r="650" spans="1:12" ht="15.75" customHeight="1" x14ac:dyDescent="0.2">
      <c r="A650" s="2"/>
      <c r="B650" s="2"/>
      <c r="C650" s="2"/>
      <c r="D650" s="2"/>
      <c r="E650" s="2"/>
      <c r="F650" s="2"/>
      <c r="G650" s="2"/>
      <c r="H650" s="2"/>
      <c r="I650" s="2"/>
      <c r="J650" s="2"/>
      <c r="K650" s="2"/>
      <c r="L650" s="2"/>
    </row>
    <row r="651" spans="1:12" ht="15.75" customHeight="1" x14ac:dyDescent="0.2">
      <c r="A651" s="2"/>
      <c r="B651" s="2"/>
      <c r="C651" s="2"/>
      <c r="D651" s="2"/>
      <c r="E651" s="2"/>
      <c r="F651" s="2"/>
      <c r="G651" s="2"/>
      <c r="H651" s="2"/>
      <c r="I651" s="2"/>
      <c r="J651" s="2"/>
      <c r="K651" s="2"/>
      <c r="L651" s="2"/>
    </row>
    <row r="652" spans="1:12" ht="15.75" customHeight="1" x14ac:dyDescent="0.2">
      <c r="A652" s="2"/>
      <c r="B652" s="2"/>
      <c r="C652" s="2"/>
      <c r="D652" s="2"/>
      <c r="E652" s="2"/>
      <c r="F652" s="2"/>
      <c r="G652" s="2"/>
      <c r="H652" s="2"/>
      <c r="I652" s="2"/>
      <c r="J652" s="2"/>
      <c r="K652" s="2"/>
      <c r="L652" s="2"/>
    </row>
    <row r="653" spans="1:12" ht="15.75" customHeight="1" x14ac:dyDescent="0.2">
      <c r="A653" s="2"/>
      <c r="B653" s="2"/>
      <c r="C653" s="2"/>
      <c r="D653" s="2"/>
      <c r="E653" s="2"/>
      <c r="F653" s="2"/>
      <c r="G653" s="2"/>
      <c r="H653" s="2"/>
      <c r="I653" s="2"/>
      <c r="J653" s="2"/>
      <c r="K653" s="2"/>
      <c r="L653" s="2"/>
    </row>
    <row r="654" spans="1:12" ht="15.75" customHeight="1" x14ac:dyDescent="0.2">
      <c r="A654" s="2"/>
      <c r="B654" s="2"/>
      <c r="C654" s="2"/>
      <c r="D654" s="2"/>
      <c r="E654" s="2"/>
      <c r="F654" s="2"/>
      <c r="G654" s="2"/>
      <c r="H654" s="2"/>
      <c r="I654" s="2"/>
      <c r="J654" s="2"/>
      <c r="K654" s="2"/>
      <c r="L654" s="2"/>
    </row>
    <row r="655" spans="1:12" ht="15.75" customHeight="1" x14ac:dyDescent="0.2">
      <c r="A655" s="2"/>
      <c r="B655" s="2"/>
      <c r="C655" s="2"/>
      <c r="D655" s="2"/>
      <c r="E655" s="2"/>
      <c r="F655" s="2"/>
      <c r="G655" s="2"/>
      <c r="H655" s="2"/>
      <c r="I655" s="2"/>
      <c r="J655" s="2"/>
      <c r="K655" s="2"/>
      <c r="L655" s="2"/>
    </row>
    <row r="656" spans="1:12" ht="15.75" customHeight="1" x14ac:dyDescent="0.2">
      <c r="A656" s="2"/>
      <c r="B656" s="2"/>
      <c r="C656" s="2"/>
      <c r="D656" s="2"/>
      <c r="E656" s="2"/>
      <c r="F656" s="2"/>
      <c r="G656" s="2"/>
      <c r="H656" s="2"/>
      <c r="I656" s="2"/>
      <c r="J656" s="2"/>
      <c r="K656" s="2"/>
      <c r="L656" s="2"/>
    </row>
    <row r="657" spans="1:12" ht="15.75" customHeight="1" x14ac:dyDescent="0.2">
      <c r="A657" s="2"/>
      <c r="B657" s="2"/>
      <c r="C657" s="2"/>
      <c r="D657" s="2"/>
      <c r="E657" s="2"/>
      <c r="F657" s="2"/>
      <c r="G657" s="2"/>
      <c r="H657" s="2"/>
      <c r="I657" s="2"/>
      <c r="J657" s="2"/>
      <c r="K657" s="2"/>
      <c r="L657" s="2"/>
    </row>
    <row r="658" spans="1:12" ht="15.75" customHeight="1" x14ac:dyDescent="0.2">
      <c r="A658" s="2"/>
      <c r="B658" s="2"/>
      <c r="C658" s="2"/>
      <c r="D658" s="2"/>
      <c r="E658" s="2"/>
      <c r="F658" s="2"/>
      <c r="G658" s="2"/>
      <c r="H658" s="2"/>
      <c r="I658" s="2"/>
      <c r="J658" s="2"/>
      <c r="K658" s="2"/>
      <c r="L658" s="2"/>
    </row>
    <row r="659" spans="1:12" ht="15.75" customHeight="1" x14ac:dyDescent="0.2">
      <c r="A659" s="2"/>
      <c r="B659" s="2"/>
      <c r="C659" s="2"/>
      <c r="D659" s="2"/>
      <c r="E659" s="2"/>
      <c r="F659" s="2"/>
      <c r="G659" s="2"/>
      <c r="H659" s="2"/>
      <c r="I659" s="2"/>
      <c r="J659" s="2"/>
      <c r="K659" s="2"/>
      <c r="L659" s="2"/>
    </row>
    <row r="660" spans="1:12" ht="15.75" customHeight="1" x14ac:dyDescent="0.2">
      <c r="A660" s="2"/>
      <c r="B660" s="2"/>
      <c r="C660" s="2"/>
      <c r="D660" s="2"/>
      <c r="E660" s="2"/>
      <c r="F660" s="2"/>
      <c r="G660" s="2"/>
      <c r="H660" s="2"/>
      <c r="I660" s="2"/>
      <c r="J660" s="2"/>
      <c r="K660" s="2"/>
      <c r="L660" s="2"/>
    </row>
    <row r="661" spans="1:12" ht="15.75" customHeight="1" x14ac:dyDescent="0.2">
      <c r="A661" s="2"/>
      <c r="B661" s="2"/>
      <c r="C661" s="2"/>
      <c r="D661" s="2"/>
      <c r="E661" s="2"/>
      <c r="F661" s="2"/>
      <c r="G661" s="2"/>
      <c r="H661" s="2"/>
      <c r="I661" s="2"/>
      <c r="J661" s="2"/>
      <c r="K661" s="2"/>
      <c r="L661" s="2"/>
    </row>
    <row r="662" spans="1:12" ht="15.75" customHeight="1" x14ac:dyDescent="0.2">
      <c r="A662" s="2"/>
      <c r="B662" s="2"/>
      <c r="C662" s="2"/>
      <c r="D662" s="2"/>
      <c r="E662" s="2"/>
      <c r="F662" s="2"/>
      <c r="G662" s="2"/>
      <c r="H662" s="2"/>
      <c r="I662" s="2"/>
      <c r="J662" s="2"/>
      <c r="K662" s="2"/>
      <c r="L662" s="2"/>
    </row>
    <row r="663" spans="1:12" ht="15.75" customHeight="1" x14ac:dyDescent="0.2">
      <c r="A663" s="2"/>
      <c r="B663" s="2"/>
      <c r="C663" s="2"/>
      <c r="D663" s="2"/>
      <c r="E663" s="2"/>
      <c r="F663" s="2"/>
      <c r="G663" s="2"/>
      <c r="H663" s="2"/>
      <c r="I663" s="2"/>
      <c r="J663" s="2"/>
      <c r="K663" s="2"/>
      <c r="L663" s="2"/>
    </row>
    <row r="664" spans="1:12" ht="15.75" customHeight="1" x14ac:dyDescent="0.2">
      <c r="A664" s="2"/>
      <c r="B664" s="2"/>
      <c r="C664" s="2"/>
      <c r="D664" s="2"/>
      <c r="E664" s="2"/>
      <c r="F664" s="2"/>
      <c r="G664" s="2"/>
      <c r="H664" s="2"/>
      <c r="I664" s="2"/>
      <c r="J664" s="2"/>
      <c r="K664" s="2"/>
      <c r="L664" s="2"/>
    </row>
    <row r="665" spans="1:12" ht="15.75" customHeight="1" x14ac:dyDescent="0.2">
      <c r="A665" s="2"/>
      <c r="B665" s="2"/>
      <c r="C665" s="2"/>
      <c r="D665" s="2"/>
      <c r="E665" s="2"/>
      <c r="F665" s="2"/>
      <c r="G665" s="2"/>
      <c r="H665" s="2"/>
      <c r="I665" s="2"/>
      <c r="J665" s="2"/>
      <c r="K665" s="2"/>
      <c r="L665" s="2"/>
    </row>
    <row r="666" spans="1:12" ht="15.75" customHeight="1" x14ac:dyDescent="0.2">
      <c r="A666" s="2"/>
      <c r="B666" s="2"/>
      <c r="C666" s="2"/>
      <c r="D666" s="2"/>
      <c r="E666" s="2"/>
      <c r="F666" s="2"/>
      <c r="G666" s="2"/>
      <c r="H666" s="2"/>
      <c r="I666" s="2"/>
      <c r="J666" s="2"/>
      <c r="K666" s="2"/>
      <c r="L666" s="2"/>
    </row>
    <row r="667" spans="1:12" ht="15.75" customHeight="1" x14ac:dyDescent="0.2">
      <c r="A667" s="2"/>
      <c r="B667" s="2"/>
      <c r="C667" s="2"/>
      <c r="D667" s="2"/>
      <c r="E667" s="2"/>
      <c r="F667" s="2"/>
      <c r="G667" s="2"/>
      <c r="H667" s="2"/>
      <c r="I667" s="2"/>
      <c r="J667" s="2"/>
      <c r="K667" s="2"/>
      <c r="L667" s="2"/>
    </row>
    <row r="668" spans="1:12" ht="15.75" customHeight="1" x14ac:dyDescent="0.2">
      <c r="A668" s="2"/>
      <c r="B668" s="2"/>
      <c r="C668" s="2"/>
      <c r="D668" s="2"/>
      <c r="E668" s="2"/>
      <c r="F668" s="2"/>
      <c r="G668" s="2"/>
      <c r="H668" s="2"/>
      <c r="I668" s="2"/>
      <c r="J668" s="2"/>
      <c r="K668" s="2"/>
      <c r="L668" s="2"/>
    </row>
    <row r="669" spans="1:12" ht="15.75" customHeight="1" x14ac:dyDescent="0.2">
      <c r="A669" s="2"/>
      <c r="B669" s="2"/>
      <c r="C669" s="2"/>
      <c r="D669" s="2"/>
      <c r="E669" s="2"/>
      <c r="F669" s="2"/>
      <c r="G669" s="2"/>
      <c r="H669" s="2"/>
      <c r="I669" s="2"/>
      <c r="J669" s="2"/>
      <c r="K669" s="2"/>
      <c r="L669" s="2"/>
    </row>
    <row r="670" spans="1:12" ht="15.75" customHeight="1" x14ac:dyDescent="0.2">
      <c r="A670" s="2"/>
      <c r="B670" s="2"/>
      <c r="C670" s="2"/>
      <c r="D670" s="2"/>
      <c r="E670" s="2"/>
      <c r="F670" s="2"/>
      <c r="G670" s="2"/>
      <c r="H670" s="2"/>
      <c r="I670" s="2"/>
      <c r="J670" s="2"/>
      <c r="K670" s="2"/>
      <c r="L670" s="2"/>
    </row>
    <row r="671" spans="1:12" ht="15.75" customHeight="1" x14ac:dyDescent="0.2">
      <c r="A671" s="2"/>
      <c r="B671" s="2"/>
      <c r="C671" s="2"/>
      <c r="D671" s="2"/>
      <c r="E671" s="2"/>
      <c r="F671" s="2"/>
      <c r="G671" s="2"/>
      <c r="H671" s="2"/>
      <c r="I671" s="2"/>
      <c r="J671" s="2"/>
      <c r="K671" s="2"/>
      <c r="L671" s="2"/>
    </row>
    <row r="672" spans="1:12" ht="15.75" customHeight="1" x14ac:dyDescent="0.2">
      <c r="A672" s="2"/>
      <c r="B672" s="2"/>
      <c r="C672" s="2"/>
      <c r="D672" s="2"/>
      <c r="E672" s="2"/>
      <c r="F672" s="2"/>
      <c r="G672" s="2"/>
      <c r="H672" s="2"/>
      <c r="I672" s="2"/>
      <c r="J672" s="2"/>
      <c r="K672" s="2"/>
      <c r="L672" s="2"/>
    </row>
    <row r="673" spans="1:12" ht="15.75" customHeight="1" x14ac:dyDescent="0.2">
      <c r="A673" s="2"/>
      <c r="B673" s="2"/>
      <c r="C673" s="2"/>
      <c r="D673" s="2"/>
      <c r="E673" s="2"/>
      <c r="F673" s="2"/>
      <c r="G673" s="2"/>
      <c r="H673" s="2"/>
      <c r="I673" s="2"/>
      <c r="J673" s="2"/>
      <c r="K673" s="2"/>
      <c r="L673" s="2"/>
    </row>
    <row r="674" spans="1:12" ht="15.75" customHeight="1" x14ac:dyDescent="0.2">
      <c r="A674" s="2"/>
      <c r="B674" s="2"/>
      <c r="C674" s="2"/>
      <c r="D674" s="2"/>
      <c r="E674" s="2"/>
      <c r="F674" s="2"/>
      <c r="G674" s="2"/>
      <c r="H674" s="2"/>
      <c r="I674" s="2"/>
      <c r="J674" s="2"/>
      <c r="K674" s="2"/>
      <c r="L674" s="2"/>
    </row>
    <row r="675" spans="1:12" ht="15.75" customHeight="1" x14ac:dyDescent="0.2">
      <c r="A675" s="2"/>
      <c r="B675" s="2"/>
      <c r="C675" s="2"/>
      <c r="D675" s="2"/>
      <c r="E675" s="2"/>
      <c r="F675" s="2"/>
      <c r="G675" s="2"/>
      <c r="H675" s="2"/>
      <c r="I675" s="2"/>
      <c r="J675" s="2"/>
      <c r="K675" s="2"/>
      <c r="L675" s="2"/>
    </row>
    <row r="676" spans="1:12" ht="15.75" customHeight="1" x14ac:dyDescent="0.2">
      <c r="A676" s="2"/>
      <c r="B676" s="2"/>
      <c r="C676" s="2"/>
      <c r="D676" s="2"/>
      <c r="E676" s="2"/>
      <c r="F676" s="2"/>
      <c r="G676" s="2"/>
      <c r="H676" s="2"/>
      <c r="I676" s="2"/>
      <c r="J676" s="2"/>
      <c r="K676" s="2"/>
      <c r="L676" s="2"/>
    </row>
    <row r="677" spans="1:12" ht="15.75" customHeight="1" x14ac:dyDescent="0.2">
      <c r="A677" s="2"/>
      <c r="B677" s="2"/>
      <c r="C677" s="2"/>
      <c r="D677" s="2"/>
      <c r="E677" s="2"/>
      <c r="F677" s="2"/>
      <c r="G677" s="2"/>
      <c r="H677" s="2"/>
      <c r="I677" s="2"/>
      <c r="J677" s="2"/>
      <c r="K677" s="2"/>
      <c r="L677" s="2"/>
    </row>
    <row r="678" spans="1:12" ht="15.75" customHeight="1" x14ac:dyDescent="0.2">
      <c r="A678" s="2"/>
      <c r="B678" s="2"/>
      <c r="C678" s="2"/>
      <c r="D678" s="2"/>
      <c r="E678" s="2"/>
      <c r="F678" s="2"/>
      <c r="G678" s="2"/>
      <c r="H678" s="2"/>
      <c r="I678" s="2"/>
      <c r="J678" s="2"/>
      <c r="K678" s="2"/>
      <c r="L678" s="2"/>
    </row>
    <row r="679" spans="1:12" ht="15.75" customHeight="1" x14ac:dyDescent="0.2">
      <c r="A679" s="2"/>
      <c r="B679" s="2"/>
      <c r="C679" s="2"/>
      <c r="D679" s="2"/>
      <c r="E679" s="2"/>
      <c r="F679" s="2"/>
      <c r="G679" s="2"/>
      <c r="H679" s="2"/>
      <c r="I679" s="2"/>
      <c r="J679" s="2"/>
      <c r="K679" s="2"/>
      <c r="L679" s="2"/>
    </row>
    <row r="680" spans="1:12" ht="15.75" customHeight="1" x14ac:dyDescent="0.2">
      <c r="A680" s="2"/>
      <c r="B680" s="2"/>
      <c r="C680" s="2"/>
      <c r="D680" s="2"/>
      <c r="E680" s="2"/>
      <c r="F680" s="2"/>
      <c r="G680" s="2"/>
      <c r="H680" s="2"/>
      <c r="I680" s="2"/>
      <c r="J680" s="2"/>
      <c r="K680" s="2"/>
      <c r="L680" s="2"/>
    </row>
    <row r="681" spans="1:12" ht="15.75" customHeight="1" x14ac:dyDescent="0.2">
      <c r="A681" s="2"/>
      <c r="B681" s="2"/>
      <c r="C681" s="2"/>
      <c r="D681" s="2"/>
      <c r="E681" s="2"/>
      <c r="F681" s="2"/>
      <c r="G681" s="2"/>
      <c r="H681" s="2"/>
      <c r="I681" s="2"/>
      <c r="J681" s="2"/>
      <c r="K681" s="2"/>
      <c r="L681" s="2"/>
    </row>
    <row r="682" spans="1:12" ht="15.75" customHeight="1" x14ac:dyDescent="0.2">
      <c r="A682" s="2"/>
      <c r="B682" s="2"/>
      <c r="C682" s="2"/>
      <c r="D682" s="2"/>
      <c r="E682" s="2"/>
      <c r="F682" s="2"/>
      <c r="G682" s="2"/>
      <c r="H682" s="2"/>
      <c r="I682" s="2"/>
      <c r="J682" s="2"/>
      <c r="K682" s="2"/>
      <c r="L682" s="2"/>
    </row>
    <row r="683" spans="1:12" ht="15.75" customHeight="1" x14ac:dyDescent="0.2">
      <c r="A683" s="2"/>
      <c r="B683" s="2"/>
      <c r="C683" s="2"/>
      <c r="D683" s="2"/>
      <c r="E683" s="2"/>
      <c r="F683" s="2"/>
      <c r="G683" s="2"/>
      <c r="H683" s="2"/>
      <c r="I683" s="2"/>
      <c r="J683" s="2"/>
      <c r="K683" s="2"/>
      <c r="L683" s="2"/>
    </row>
    <row r="684" spans="1:12" ht="15.75" customHeight="1" x14ac:dyDescent="0.2">
      <c r="A684" s="2"/>
      <c r="B684" s="2"/>
      <c r="C684" s="2"/>
      <c r="D684" s="2"/>
      <c r="E684" s="2"/>
      <c r="F684" s="2"/>
      <c r="G684" s="2"/>
      <c r="H684" s="2"/>
      <c r="I684" s="2"/>
      <c r="J684" s="2"/>
      <c r="K684" s="2"/>
      <c r="L684" s="2"/>
    </row>
    <row r="685" spans="1:12" ht="15.75" customHeight="1" x14ac:dyDescent="0.2">
      <c r="A685" s="2"/>
      <c r="B685" s="2"/>
      <c r="C685" s="2"/>
      <c r="D685" s="2"/>
      <c r="E685" s="2"/>
      <c r="F685" s="2"/>
      <c r="G685" s="2"/>
      <c r="H685" s="2"/>
      <c r="I685" s="2"/>
      <c r="J685" s="2"/>
      <c r="K685" s="2"/>
      <c r="L685" s="2"/>
    </row>
    <row r="686" spans="1:12" ht="15.75" customHeight="1" x14ac:dyDescent="0.2">
      <c r="A686" s="2"/>
      <c r="B686" s="2"/>
      <c r="C686" s="2"/>
      <c r="D686" s="2"/>
      <c r="E686" s="2"/>
      <c r="F686" s="2"/>
      <c r="G686" s="2"/>
      <c r="H686" s="2"/>
      <c r="I686" s="2"/>
      <c r="J686" s="2"/>
      <c r="K686" s="2"/>
      <c r="L686" s="2"/>
    </row>
    <row r="687" spans="1:12" ht="15.75" customHeight="1" x14ac:dyDescent="0.2">
      <c r="A687" s="2"/>
      <c r="B687" s="2"/>
      <c r="C687" s="2"/>
      <c r="D687" s="2"/>
      <c r="E687" s="2"/>
      <c r="F687" s="2"/>
      <c r="G687" s="2"/>
      <c r="H687" s="2"/>
      <c r="I687" s="2"/>
      <c r="J687" s="2"/>
      <c r="K687" s="2"/>
      <c r="L687" s="2"/>
    </row>
    <row r="688" spans="1:12" ht="15.75" customHeight="1" x14ac:dyDescent="0.2">
      <c r="A688" s="2"/>
      <c r="B688" s="2"/>
      <c r="C688" s="2"/>
      <c r="D688" s="2"/>
      <c r="E688" s="2"/>
      <c r="F688" s="2"/>
      <c r="G688" s="2"/>
      <c r="H688" s="2"/>
      <c r="I688" s="2"/>
      <c r="J688" s="2"/>
      <c r="K688" s="2"/>
      <c r="L688" s="2"/>
    </row>
    <row r="689" spans="1:12" ht="15.75" customHeight="1" x14ac:dyDescent="0.2">
      <c r="A689" s="2"/>
      <c r="B689" s="2"/>
      <c r="C689" s="2"/>
      <c r="D689" s="2"/>
      <c r="E689" s="2"/>
      <c r="F689" s="2"/>
      <c r="G689" s="2"/>
      <c r="H689" s="2"/>
      <c r="I689" s="2"/>
      <c r="J689" s="2"/>
      <c r="K689" s="2"/>
      <c r="L689" s="2"/>
    </row>
    <row r="690" spans="1:12" ht="15.75" customHeight="1" x14ac:dyDescent="0.2">
      <c r="A690" s="2"/>
      <c r="B690" s="2"/>
      <c r="C690" s="2"/>
      <c r="D690" s="2"/>
      <c r="E690" s="2"/>
      <c r="F690" s="2"/>
      <c r="G690" s="2"/>
      <c r="H690" s="2"/>
      <c r="I690" s="2"/>
      <c r="J690" s="2"/>
      <c r="K690" s="2"/>
      <c r="L690" s="2"/>
    </row>
    <row r="691" spans="1:12" ht="15.75" customHeight="1" x14ac:dyDescent="0.2">
      <c r="A691" s="2"/>
      <c r="B691" s="2"/>
      <c r="C691" s="2"/>
      <c r="D691" s="2"/>
      <c r="E691" s="2"/>
      <c r="F691" s="2"/>
      <c r="G691" s="2"/>
      <c r="H691" s="2"/>
      <c r="I691" s="2"/>
      <c r="J691" s="2"/>
      <c r="K691" s="2"/>
      <c r="L691" s="2"/>
    </row>
    <row r="692" spans="1:12" ht="15.75" customHeight="1" x14ac:dyDescent="0.2">
      <c r="A692" s="2"/>
      <c r="B692" s="2"/>
      <c r="C692" s="2"/>
      <c r="D692" s="2"/>
      <c r="E692" s="2"/>
      <c r="F692" s="2"/>
      <c r="G692" s="2"/>
      <c r="H692" s="2"/>
      <c r="I692" s="2"/>
      <c r="J692" s="2"/>
      <c r="K692" s="2"/>
      <c r="L692" s="2"/>
    </row>
    <row r="693" spans="1:12" ht="15.75" customHeight="1" x14ac:dyDescent="0.2">
      <c r="A693" s="2"/>
      <c r="B693" s="2"/>
      <c r="C693" s="2"/>
      <c r="D693" s="2"/>
      <c r="E693" s="2"/>
      <c r="F693" s="2"/>
      <c r="G693" s="2"/>
      <c r="H693" s="2"/>
      <c r="I693" s="2"/>
      <c r="J693" s="2"/>
      <c r="K693" s="2"/>
      <c r="L693" s="2"/>
    </row>
    <row r="694" spans="1:12" ht="15.75" customHeight="1" x14ac:dyDescent="0.2">
      <c r="A694" s="2"/>
      <c r="B694" s="2"/>
      <c r="C694" s="2"/>
      <c r="D694" s="2"/>
      <c r="E694" s="2"/>
      <c r="F694" s="2"/>
      <c r="G694" s="2"/>
      <c r="H694" s="2"/>
      <c r="I694" s="2"/>
      <c r="J694" s="2"/>
      <c r="K694" s="2"/>
      <c r="L694" s="2"/>
    </row>
    <row r="695" spans="1:12" ht="15.75" customHeight="1" x14ac:dyDescent="0.2">
      <c r="A695" s="2"/>
      <c r="B695" s="2"/>
      <c r="C695" s="2"/>
      <c r="D695" s="2"/>
      <c r="E695" s="2"/>
      <c r="F695" s="2"/>
      <c r="G695" s="2"/>
      <c r="H695" s="2"/>
      <c r="I695" s="2"/>
      <c r="J695" s="2"/>
      <c r="K695" s="2"/>
      <c r="L695" s="2"/>
    </row>
    <row r="696" spans="1:12" ht="15.75" customHeight="1" x14ac:dyDescent="0.2">
      <c r="A696" s="2"/>
      <c r="B696" s="2"/>
      <c r="C696" s="2"/>
      <c r="D696" s="2"/>
      <c r="E696" s="2"/>
      <c r="F696" s="2"/>
      <c r="G696" s="2"/>
      <c r="H696" s="2"/>
      <c r="I696" s="2"/>
      <c r="J696" s="2"/>
      <c r="K696" s="2"/>
      <c r="L696" s="2"/>
    </row>
    <row r="697" spans="1:12" ht="15.75" customHeight="1" x14ac:dyDescent="0.2">
      <c r="A697" s="2"/>
      <c r="B697" s="2"/>
      <c r="C697" s="2"/>
      <c r="D697" s="2"/>
      <c r="E697" s="2"/>
      <c r="F697" s="2"/>
      <c r="G697" s="2"/>
      <c r="H697" s="2"/>
      <c r="I697" s="2"/>
      <c r="J697" s="2"/>
      <c r="K697" s="2"/>
      <c r="L697" s="2"/>
    </row>
    <row r="698" spans="1:12" ht="15.75" customHeight="1" x14ac:dyDescent="0.2">
      <c r="A698" s="2"/>
      <c r="B698" s="2"/>
      <c r="C698" s="2"/>
      <c r="D698" s="2"/>
      <c r="E698" s="2"/>
      <c r="F698" s="2"/>
      <c r="G698" s="2"/>
      <c r="H698" s="2"/>
      <c r="I698" s="2"/>
      <c r="J698" s="2"/>
      <c r="K698" s="2"/>
      <c r="L698" s="2"/>
    </row>
    <row r="699" spans="1:12" ht="15.75" customHeight="1" x14ac:dyDescent="0.2">
      <c r="A699" s="2"/>
      <c r="B699" s="2"/>
      <c r="C699" s="2"/>
      <c r="D699" s="2"/>
      <c r="E699" s="2"/>
      <c r="F699" s="2"/>
      <c r="G699" s="2"/>
      <c r="H699" s="2"/>
      <c r="I699" s="2"/>
      <c r="J699" s="2"/>
      <c r="K699" s="2"/>
      <c r="L699" s="2"/>
    </row>
    <row r="700" spans="1:12" ht="15.75" customHeight="1" x14ac:dyDescent="0.2">
      <c r="A700" s="2"/>
      <c r="B700" s="2"/>
      <c r="C700" s="2"/>
      <c r="D700" s="2"/>
      <c r="E700" s="2"/>
      <c r="F700" s="2"/>
      <c r="G700" s="2"/>
      <c r="H700" s="2"/>
      <c r="I700" s="2"/>
      <c r="J700" s="2"/>
      <c r="K700" s="2"/>
      <c r="L700" s="2"/>
    </row>
    <row r="701" spans="1:12" ht="15.75" customHeight="1" x14ac:dyDescent="0.2">
      <c r="A701" s="2"/>
      <c r="B701" s="2"/>
      <c r="C701" s="2"/>
      <c r="D701" s="2"/>
      <c r="E701" s="2"/>
      <c r="F701" s="2"/>
      <c r="G701" s="2"/>
      <c r="H701" s="2"/>
      <c r="I701" s="2"/>
      <c r="J701" s="2"/>
      <c r="K701" s="2"/>
      <c r="L701" s="2"/>
    </row>
    <row r="702" spans="1:12" ht="15.75" customHeight="1" x14ac:dyDescent="0.2">
      <c r="A702" s="2"/>
      <c r="B702" s="2"/>
      <c r="C702" s="2"/>
      <c r="D702" s="2"/>
      <c r="E702" s="2"/>
      <c r="F702" s="2"/>
      <c r="G702" s="2"/>
      <c r="H702" s="2"/>
      <c r="I702" s="2"/>
      <c r="J702" s="2"/>
      <c r="K702" s="2"/>
      <c r="L702" s="2"/>
    </row>
    <row r="703" spans="1:12" ht="15.75" customHeight="1" x14ac:dyDescent="0.2">
      <c r="A703" s="2"/>
      <c r="B703" s="2"/>
      <c r="C703" s="2"/>
      <c r="D703" s="2"/>
      <c r="E703" s="2"/>
      <c r="F703" s="2"/>
      <c r="G703" s="2"/>
      <c r="H703" s="2"/>
      <c r="I703" s="2"/>
      <c r="J703" s="2"/>
      <c r="K703" s="2"/>
      <c r="L703" s="2"/>
    </row>
    <row r="704" spans="1:12" ht="15.75" customHeight="1" x14ac:dyDescent="0.2">
      <c r="A704" s="2"/>
      <c r="B704" s="2"/>
      <c r="C704" s="2"/>
      <c r="D704" s="2"/>
      <c r="E704" s="2"/>
      <c r="F704" s="2"/>
      <c r="G704" s="2"/>
      <c r="H704" s="2"/>
      <c r="I704" s="2"/>
      <c r="J704" s="2"/>
      <c r="K704" s="2"/>
      <c r="L704" s="2"/>
    </row>
    <row r="705" spans="1:12" ht="15.75" customHeight="1" x14ac:dyDescent="0.2">
      <c r="A705" s="2"/>
      <c r="B705" s="2"/>
      <c r="C705" s="2"/>
      <c r="D705" s="2"/>
      <c r="E705" s="2"/>
      <c r="F705" s="2"/>
      <c r="G705" s="2"/>
      <c r="H705" s="2"/>
      <c r="I705" s="2"/>
      <c r="J705" s="2"/>
      <c r="K705" s="2"/>
      <c r="L705" s="2"/>
    </row>
    <row r="706" spans="1:12" ht="15.75" customHeight="1" x14ac:dyDescent="0.2">
      <c r="A706" s="2"/>
      <c r="B706" s="2"/>
      <c r="C706" s="2"/>
      <c r="D706" s="2"/>
      <c r="E706" s="2"/>
      <c r="F706" s="2"/>
      <c r="G706" s="2"/>
      <c r="H706" s="2"/>
      <c r="I706" s="2"/>
      <c r="J706" s="2"/>
      <c r="K706" s="2"/>
      <c r="L706" s="2"/>
    </row>
    <row r="707" spans="1:12" ht="15.75" customHeight="1" x14ac:dyDescent="0.2">
      <c r="A707" s="2"/>
      <c r="B707" s="2"/>
      <c r="C707" s="2"/>
      <c r="D707" s="2"/>
      <c r="E707" s="2"/>
      <c r="F707" s="2"/>
      <c r="G707" s="2"/>
      <c r="H707" s="2"/>
      <c r="I707" s="2"/>
      <c r="J707" s="2"/>
      <c r="K707" s="2"/>
      <c r="L707" s="2"/>
    </row>
    <row r="708" spans="1:12" ht="15.75" customHeight="1" x14ac:dyDescent="0.2">
      <c r="A708" s="2"/>
      <c r="B708" s="2"/>
      <c r="C708" s="2"/>
      <c r="D708" s="2"/>
      <c r="E708" s="2"/>
      <c r="F708" s="2"/>
      <c r="G708" s="2"/>
      <c r="H708" s="2"/>
      <c r="I708" s="2"/>
      <c r="J708" s="2"/>
      <c r="K708" s="2"/>
      <c r="L708" s="2"/>
    </row>
    <row r="709" spans="1:12" ht="15.75" customHeight="1" x14ac:dyDescent="0.2">
      <c r="A709" s="2"/>
      <c r="B709" s="2"/>
      <c r="C709" s="2"/>
      <c r="D709" s="2"/>
      <c r="E709" s="2"/>
      <c r="F709" s="2"/>
      <c r="G709" s="2"/>
      <c r="H709" s="2"/>
      <c r="I709" s="2"/>
      <c r="J709" s="2"/>
      <c r="K709" s="2"/>
      <c r="L709" s="2"/>
    </row>
    <row r="710" spans="1:12" ht="15.75" customHeight="1" x14ac:dyDescent="0.2">
      <c r="A710" s="2"/>
      <c r="B710" s="2"/>
      <c r="C710" s="2"/>
      <c r="D710" s="2"/>
      <c r="E710" s="2"/>
      <c r="F710" s="2"/>
      <c r="G710" s="2"/>
      <c r="H710" s="2"/>
      <c r="I710" s="2"/>
      <c r="J710" s="2"/>
      <c r="K710" s="2"/>
      <c r="L710" s="2"/>
    </row>
    <row r="711" spans="1:12" ht="15.75" customHeight="1" x14ac:dyDescent="0.2">
      <c r="A711" s="2"/>
      <c r="B711" s="2"/>
      <c r="C711" s="2"/>
      <c r="D711" s="2"/>
      <c r="E711" s="2"/>
      <c r="F711" s="2"/>
      <c r="G711" s="2"/>
      <c r="H711" s="2"/>
      <c r="I711" s="2"/>
      <c r="J711" s="2"/>
      <c r="K711" s="2"/>
      <c r="L711" s="2"/>
    </row>
    <row r="712" spans="1:12" ht="15.75" customHeight="1" x14ac:dyDescent="0.2">
      <c r="A712" s="2"/>
      <c r="B712" s="2"/>
      <c r="C712" s="2"/>
      <c r="D712" s="2"/>
      <c r="E712" s="2"/>
      <c r="F712" s="2"/>
      <c r="G712" s="2"/>
      <c r="H712" s="2"/>
      <c r="I712" s="2"/>
      <c r="J712" s="2"/>
      <c r="K712" s="2"/>
      <c r="L712" s="2"/>
    </row>
    <row r="713" spans="1:12" ht="15.75" customHeight="1" x14ac:dyDescent="0.2">
      <c r="A713" s="2"/>
      <c r="B713" s="2"/>
      <c r="C713" s="2"/>
      <c r="D713" s="2"/>
      <c r="E713" s="2"/>
      <c r="F713" s="2"/>
      <c r="G713" s="2"/>
      <c r="H713" s="2"/>
      <c r="I713" s="2"/>
      <c r="J713" s="2"/>
      <c r="K713" s="2"/>
      <c r="L713" s="2"/>
    </row>
    <row r="714" spans="1:12" ht="15.75" customHeight="1" x14ac:dyDescent="0.2">
      <c r="A714" s="2"/>
      <c r="B714" s="2"/>
      <c r="C714" s="2"/>
      <c r="D714" s="2"/>
      <c r="E714" s="2"/>
      <c r="F714" s="2"/>
      <c r="G714" s="2"/>
      <c r="H714" s="2"/>
      <c r="I714" s="2"/>
      <c r="J714" s="2"/>
      <c r="K714" s="2"/>
      <c r="L714" s="2"/>
    </row>
    <row r="715" spans="1:12" ht="15.75" customHeight="1" x14ac:dyDescent="0.2">
      <c r="A715" s="2"/>
      <c r="B715" s="2"/>
      <c r="C715" s="2"/>
      <c r="D715" s="2"/>
      <c r="E715" s="2"/>
      <c r="F715" s="2"/>
      <c r="G715" s="2"/>
      <c r="H715" s="2"/>
      <c r="I715" s="2"/>
      <c r="J715" s="2"/>
      <c r="K715" s="2"/>
      <c r="L715" s="2"/>
    </row>
    <row r="716" spans="1:12" ht="15.75" customHeight="1" x14ac:dyDescent="0.2">
      <c r="A716" s="2"/>
      <c r="B716" s="2"/>
      <c r="C716" s="2"/>
      <c r="D716" s="2"/>
      <c r="E716" s="2"/>
      <c r="F716" s="2"/>
      <c r="G716" s="2"/>
      <c r="H716" s="2"/>
      <c r="I716" s="2"/>
      <c r="J716" s="2"/>
      <c r="K716" s="2"/>
      <c r="L716" s="2"/>
    </row>
    <row r="717" spans="1:12" ht="15.75" customHeight="1" x14ac:dyDescent="0.2">
      <c r="A717" s="2"/>
      <c r="B717" s="2"/>
      <c r="C717" s="2"/>
      <c r="D717" s="2"/>
      <c r="E717" s="2"/>
      <c r="F717" s="2"/>
      <c r="G717" s="2"/>
      <c r="H717" s="2"/>
      <c r="I717" s="2"/>
      <c r="J717" s="2"/>
      <c r="K717" s="2"/>
      <c r="L717" s="2"/>
    </row>
    <row r="718" spans="1:12" ht="15.75" customHeight="1" x14ac:dyDescent="0.2">
      <c r="A718" s="2"/>
      <c r="B718" s="2"/>
      <c r="C718" s="2"/>
      <c r="D718" s="2"/>
      <c r="E718" s="2"/>
      <c r="F718" s="2"/>
      <c r="G718" s="2"/>
      <c r="H718" s="2"/>
      <c r="I718" s="2"/>
      <c r="J718" s="2"/>
      <c r="K718" s="2"/>
      <c r="L718" s="2"/>
    </row>
    <row r="719" spans="1:12" ht="15.75" customHeight="1" x14ac:dyDescent="0.2">
      <c r="A719" s="2"/>
      <c r="B719" s="2"/>
      <c r="C719" s="2"/>
      <c r="D719" s="2"/>
      <c r="E719" s="2"/>
      <c r="F719" s="2"/>
      <c r="G719" s="2"/>
      <c r="H719" s="2"/>
      <c r="I719" s="2"/>
      <c r="J719" s="2"/>
      <c r="K719" s="2"/>
      <c r="L719" s="2"/>
    </row>
    <row r="720" spans="1:12" ht="15.75" customHeight="1" x14ac:dyDescent="0.2">
      <c r="A720" s="2"/>
      <c r="B720" s="2"/>
      <c r="C720" s="2"/>
      <c r="D720" s="2"/>
      <c r="E720" s="2"/>
      <c r="F720" s="2"/>
      <c r="G720" s="2"/>
      <c r="H720" s="2"/>
      <c r="I720" s="2"/>
      <c r="J720" s="2"/>
      <c r="K720" s="2"/>
      <c r="L720" s="2"/>
    </row>
    <row r="721" spans="1:12" ht="15.75" customHeight="1" x14ac:dyDescent="0.2">
      <c r="A721" s="2"/>
      <c r="B721" s="2"/>
      <c r="C721" s="2"/>
      <c r="D721" s="2"/>
      <c r="E721" s="2"/>
      <c r="F721" s="2"/>
      <c r="G721" s="2"/>
      <c r="H721" s="2"/>
      <c r="I721" s="2"/>
      <c r="J721" s="2"/>
      <c r="K721" s="2"/>
      <c r="L721" s="2"/>
    </row>
    <row r="722" spans="1:12" ht="15.75" customHeight="1" x14ac:dyDescent="0.2">
      <c r="A722" s="2"/>
      <c r="B722" s="2"/>
      <c r="C722" s="2"/>
      <c r="D722" s="2"/>
      <c r="E722" s="2"/>
      <c r="F722" s="2"/>
      <c r="G722" s="2"/>
      <c r="H722" s="2"/>
      <c r="I722" s="2"/>
      <c r="J722" s="2"/>
      <c r="K722" s="2"/>
      <c r="L722" s="2"/>
    </row>
    <row r="723" spans="1:12" ht="15.75" customHeight="1" x14ac:dyDescent="0.2">
      <c r="A723" s="2"/>
      <c r="B723" s="2"/>
      <c r="C723" s="2"/>
      <c r="D723" s="2"/>
      <c r="E723" s="2"/>
      <c r="F723" s="2"/>
      <c r="G723" s="2"/>
      <c r="H723" s="2"/>
      <c r="I723" s="2"/>
      <c r="J723" s="2"/>
      <c r="K723" s="2"/>
      <c r="L723" s="2"/>
    </row>
    <row r="724" spans="1:12" ht="15.75" customHeight="1" x14ac:dyDescent="0.2">
      <c r="A724" s="2"/>
      <c r="B724" s="2"/>
      <c r="C724" s="2"/>
      <c r="D724" s="2"/>
      <c r="E724" s="2"/>
      <c r="F724" s="2"/>
      <c r="G724" s="2"/>
      <c r="H724" s="2"/>
      <c r="I724" s="2"/>
      <c r="J724" s="2"/>
      <c r="K724" s="2"/>
      <c r="L724" s="2"/>
    </row>
    <row r="725" spans="1:12" ht="15.75" customHeight="1" x14ac:dyDescent="0.2">
      <c r="A725" s="2"/>
      <c r="B725" s="2"/>
      <c r="C725" s="2"/>
      <c r="D725" s="2"/>
      <c r="E725" s="2"/>
      <c r="F725" s="2"/>
      <c r="G725" s="2"/>
      <c r="H725" s="2"/>
      <c r="I725" s="2"/>
      <c r="J725" s="2"/>
      <c r="K725" s="2"/>
      <c r="L725" s="2"/>
    </row>
    <row r="726" spans="1:12" ht="15.75" customHeight="1" x14ac:dyDescent="0.2">
      <c r="A726" s="2"/>
      <c r="B726" s="2"/>
      <c r="C726" s="2"/>
      <c r="D726" s="2"/>
      <c r="E726" s="2"/>
      <c r="F726" s="2"/>
      <c r="G726" s="2"/>
      <c r="H726" s="2"/>
      <c r="I726" s="2"/>
      <c r="J726" s="2"/>
      <c r="K726" s="2"/>
      <c r="L726" s="2"/>
    </row>
    <row r="727" spans="1:12" ht="15.75" customHeight="1" x14ac:dyDescent="0.2">
      <c r="A727" s="2"/>
      <c r="B727" s="2"/>
      <c r="C727" s="2"/>
      <c r="D727" s="2"/>
      <c r="E727" s="2"/>
      <c r="F727" s="2"/>
      <c r="G727" s="2"/>
      <c r="H727" s="2"/>
      <c r="I727" s="2"/>
      <c r="J727" s="2"/>
      <c r="K727" s="2"/>
      <c r="L727" s="2"/>
    </row>
    <row r="728" spans="1:12" ht="15.75" customHeight="1" x14ac:dyDescent="0.2">
      <c r="A728" s="2"/>
      <c r="B728" s="2"/>
      <c r="C728" s="2"/>
      <c r="D728" s="2"/>
      <c r="E728" s="2"/>
      <c r="F728" s="2"/>
      <c r="G728" s="2"/>
      <c r="H728" s="2"/>
      <c r="I728" s="2"/>
      <c r="J728" s="2"/>
      <c r="K728" s="2"/>
      <c r="L728" s="2"/>
    </row>
    <row r="729" spans="1:12" ht="15.75" customHeight="1" x14ac:dyDescent="0.2">
      <c r="A729" s="2"/>
      <c r="B729" s="2"/>
      <c r="C729" s="2"/>
      <c r="D729" s="2"/>
      <c r="E729" s="2"/>
      <c r="F729" s="2"/>
      <c r="G729" s="2"/>
      <c r="H729" s="2"/>
      <c r="I729" s="2"/>
      <c r="J729" s="2"/>
      <c r="K729" s="2"/>
      <c r="L729" s="2"/>
    </row>
    <row r="730" spans="1:12" ht="15.75" customHeight="1" x14ac:dyDescent="0.2">
      <c r="A730" s="2"/>
      <c r="B730" s="2"/>
      <c r="C730" s="2"/>
      <c r="D730" s="2"/>
      <c r="E730" s="2"/>
      <c r="F730" s="2"/>
      <c r="G730" s="2"/>
      <c r="H730" s="2"/>
      <c r="I730" s="2"/>
      <c r="J730" s="2"/>
      <c r="K730" s="2"/>
      <c r="L730" s="2"/>
    </row>
    <row r="731" spans="1:12" ht="15.75" customHeight="1" x14ac:dyDescent="0.2">
      <c r="A731" s="2"/>
      <c r="B731" s="2"/>
      <c r="C731" s="2"/>
      <c r="D731" s="2"/>
      <c r="E731" s="2"/>
      <c r="F731" s="2"/>
      <c r="G731" s="2"/>
      <c r="H731" s="2"/>
      <c r="I731" s="2"/>
      <c r="J731" s="2"/>
      <c r="K731" s="2"/>
      <c r="L731" s="2"/>
    </row>
    <row r="732" spans="1:12" ht="15.75" customHeight="1" x14ac:dyDescent="0.2">
      <c r="A732" s="2"/>
      <c r="B732" s="2"/>
      <c r="C732" s="2"/>
      <c r="D732" s="2"/>
      <c r="E732" s="2"/>
      <c r="F732" s="2"/>
      <c r="G732" s="2"/>
      <c r="H732" s="2"/>
      <c r="I732" s="2"/>
      <c r="J732" s="2"/>
      <c r="K732" s="2"/>
      <c r="L732" s="2"/>
    </row>
    <row r="733" spans="1:12" ht="15.75" customHeight="1" x14ac:dyDescent="0.2">
      <c r="A733" s="2"/>
      <c r="B733" s="2"/>
      <c r="C733" s="2"/>
      <c r="D733" s="2"/>
      <c r="E733" s="2"/>
      <c r="F733" s="2"/>
      <c r="G733" s="2"/>
      <c r="H733" s="2"/>
      <c r="I733" s="2"/>
      <c r="J733" s="2"/>
      <c r="K733" s="2"/>
      <c r="L733" s="2"/>
    </row>
    <row r="734" spans="1:12" ht="15.75" customHeight="1" x14ac:dyDescent="0.2">
      <c r="A734" s="2"/>
      <c r="B734" s="2"/>
      <c r="C734" s="2"/>
      <c r="D734" s="2"/>
      <c r="E734" s="2"/>
      <c r="F734" s="2"/>
      <c r="G734" s="2"/>
      <c r="H734" s="2"/>
      <c r="I734" s="2"/>
      <c r="J734" s="2"/>
      <c r="K734" s="2"/>
      <c r="L734" s="2"/>
    </row>
    <row r="735" spans="1:12" ht="15.75" customHeight="1" x14ac:dyDescent="0.2">
      <c r="A735" s="2"/>
      <c r="B735" s="2"/>
      <c r="C735" s="2"/>
      <c r="D735" s="2"/>
      <c r="E735" s="2"/>
      <c r="F735" s="2"/>
      <c r="G735" s="2"/>
      <c r="H735" s="2"/>
      <c r="I735" s="2"/>
      <c r="J735" s="2"/>
      <c r="K735" s="2"/>
      <c r="L735" s="2"/>
    </row>
    <row r="736" spans="1:12" ht="15.75" customHeight="1" x14ac:dyDescent="0.2">
      <c r="A736" s="2"/>
      <c r="B736" s="2"/>
      <c r="C736" s="2"/>
      <c r="D736" s="2"/>
      <c r="E736" s="2"/>
      <c r="F736" s="2"/>
      <c r="G736" s="2"/>
      <c r="H736" s="2"/>
      <c r="I736" s="2"/>
      <c r="J736" s="2"/>
      <c r="K736" s="2"/>
      <c r="L736" s="2"/>
    </row>
    <row r="737" spans="1:12" ht="15.75" customHeight="1" x14ac:dyDescent="0.2">
      <c r="A737" s="2"/>
      <c r="B737" s="2"/>
      <c r="C737" s="2"/>
      <c r="D737" s="2"/>
      <c r="E737" s="2"/>
      <c r="F737" s="2"/>
      <c r="G737" s="2"/>
      <c r="H737" s="2"/>
      <c r="I737" s="2"/>
      <c r="J737" s="2"/>
      <c r="K737" s="2"/>
      <c r="L737" s="2"/>
    </row>
    <row r="738" spans="1:12" ht="15.75" customHeight="1" x14ac:dyDescent="0.2">
      <c r="A738" s="2"/>
      <c r="B738" s="2"/>
      <c r="C738" s="2"/>
      <c r="D738" s="2"/>
      <c r="E738" s="2"/>
      <c r="F738" s="2"/>
      <c r="G738" s="2"/>
      <c r="H738" s="2"/>
      <c r="I738" s="2"/>
      <c r="J738" s="2"/>
      <c r="K738" s="2"/>
      <c r="L738" s="2"/>
    </row>
    <row r="739" spans="1:12" ht="15.75" customHeight="1" x14ac:dyDescent="0.2">
      <c r="A739" s="2"/>
      <c r="B739" s="2"/>
      <c r="C739" s="2"/>
      <c r="D739" s="2"/>
      <c r="E739" s="2"/>
      <c r="F739" s="2"/>
      <c r="G739" s="2"/>
      <c r="H739" s="2"/>
      <c r="I739" s="2"/>
      <c r="J739" s="2"/>
      <c r="K739" s="2"/>
      <c r="L739" s="2"/>
    </row>
    <row r="740" spans="1:12" ht="15.75" customHeight="1" x14ac:dyDescent="0.2">
      <c r="A740" s="2"/>
      <c r="B740" s="2"/>
      <c r="C740" s="2"/>
      <c r="D740" s="2"/>
      <c r="E740" s="2"/>
      <c r="F740" s="2"/>
      <c r="G740" s="2"/>
      <c r="H740" s="2"/>
      <c r="I740" s="2"/>
      <c r="J740" s="2"/>
      <c r="K740" s="2"/>
      <c r="L740" s="2"/>
    </row>
    <row r="741" spans="1:12" ht="15.75" customHeight="1" x14ac:dyDescent="0.2">
      <c r="A741" s="2"/>
      <c r="B741" s="2"/>
      <c r="C741" s="2"/>
      <c r="D741" s="2"/>
      <c r="E741" s="2"/>
      <c r="F741" s="2"/>
      <c r="G741" s="2"/>
      <c r="H741" s="2"/>
      <c r="I741" s="2"/>
      <c r="J741" s="2"/>
      <c r="K741" s="2"/>
      <c r="L741" s="2"/>
    </row>
    <row r="742" spans="1:12" ht="15.75" customHeight="1" x14ac:dyDescent="0.2">
      <c r="A742" s="2"/>
      <c r="B742" s="2"/>
      <c r="C742" s="2"/>
      <c r="D742" s="2"/>
      <c r="E742" s="2"/>
      <c r="F742" s="2"/>
      <c r="G742" s="2"/>
      <c r="H742" s="2"/>
      <c r="I742" s="2"/>
      <c r="J742" s="2"/>
      <c r="K742" s="2"/>
      <c r="L742" s="2"/>
    </row>
    <row r="743" spans="1:12" ht="15.75" customHeight="1" x14ac:dyDescent="0.2">
      <c r="A743" s="2"/>
      <c r="B743" s="2"/>
      <c r="C743" s="2"/>
      <c r="D743" s="2"/>
      <c r="E743" s="2"/>
      <c r="F743" s="2"/>
      <c r="G743" s="2"/>
      <c r="H743" s="2"/>
      <c r="I743" s="2"/>
      <c r="J743" s="2"/>
      <c r="K743" s="2"/>
      <c r="L743" s="2"/>
    </row>
    <row r="744" spans="1:12" ht="15.75" customHeight="1" x14ac:dyDescent="0.2">
      <c r="A744" s="2"/>
      <c r="B744" s="2"/>
      <c r="C744" s="2"/>
      <c r="D744" s="2"/>
      <c r="E744" s="2"/>
      <c r="F744" s="2"/>
      <c r="G744" s="2"/>
      <c r="H744" s="2"/>
      <c r="I744" s="2"/>
      <c r="J744" s="2"/>
      <c r="K744" s="2"/>
      <c r="L744" s="2"/>
    </row>
    <row r="745" spans="1:12" ht="15.75" customHeight="1" x14ac:dyDescent="0.2">
      <c r="A745" s="2"/>
      <c r="B745" s="2"/>
      <c r="C745" s="2"/>
      <c r="D745" s="2"/>
      <c r="E745" s="2"/>
      <c r="F745" s="2"/>
      <c r="G745" s="2"/>
      <c r="H745" s="2"/>
      <c r="I745" s="2"/>
      <c r="J745" s="2"/>
      <c r="K745" s="2"/>
      <c r="L745" s="2"/>
    </row>
    <row r="746" spans="1:12" ht="15.75" customHeight="1" x14ac:dyDescent="0.2">
      <c r="A746" s="2"/>
      <c r="B746" s="2"/>
      <c r="C746" s="2"/>
      <c r="D746" s="2"/>
      <c r="E746" s="2"/>
      <c r="F746" s="2"/>
      <c r="G746" s="2"/>
      <c r="H746" s="2"/>
      <c r="I746" s="2"/>
      <c r="J746" s="2"/>
      <c r="K746" s="2"/>
      <c r="L746" s="2"/>
    </row>
    <row r="747" spans="1:12" ht="15.75" customHeight="1" x14ac:dyDescent="0.2">
      <c r="A747" s="2"/>
      <c r="B747" s="2"/>
      <c r="C747" s="2"/>
      <c r="D747" s="2"/>
      <c r="E747" s="2"/>
      <c r="F747" s="2"/>
      <c r="G747" s="2"/>
      <c r="H747" s="2"/>
      <c r="I747" s="2"/>
      <c r="J747" s="2"/>
      <c r="K747" s="2"/>
      <c r="L747" s="2"/>
    </row>
    <row r="748" spans="1:12" ht="15.75" customHeight="1" x14ac:dyDescent="0.2">
      <c r="A748" s="2"/>
      <c r="B748" s="2"/>
      <c r="C748" s="2"/>
      <c r="D748" s="2"/>
      <c r="E748" s="2"/>
      <c r="F748" s="2"/>
      <c r="G748" s="2"/>
      <c r="H748" s="2"/>
      <c r="I748" s="2"/>
      <c r="J748" s="2"/>
      <c r="K748" s="2"/>
      <c r="L748" s="2"/>
    </row>
    <row r="749" spans="1:12" ht="15.75" customHeight="1" x14ac:dyDescent="0.2">
      <c r="A749" s="2"/>
      <c r="B749" s="2"/>
      <c r="C749" s="2"/>
      <c r="D749" s="2"/>
      <c r="E749" s="2"/>
      <c r="F749" s="2"/>
      <c r="G749" s="2"/>
      <c r="H749" s="2"/>
      <c r="I749" s="2"/>
      <c r="J749" s="2"/>
      <c r="K749" s="2"/>
      <c r="L749" s="2"/>
    </row>
    <row r="750" spans="1:12" ht="15.75" customHeight="1" x14ac:dyDescent="0.2">
      <c r="A750" s="2"/>
      <c r="B750" s="2"/>
      <c r="C750" s="2"/>
      <c r="D750" s="2"/>
      <c r="E750" s="2"/>
      <c r="F750" s="2"/>
      <c r="G750" s="2"/>
      <c r="H750" s="2"/>
      <c r="I750" s="2"/>
      <c r="J750" s="2"/>
      <c r="K750" s="2"/>
      <c r="L750" s="2"/>
    </row>
    <row r="751" spans="1:12" ht="15.75" customHeight="1" x14ac:dyDescent="0.2">
      <c r="A751" s="2"/>
      <c r="B751" s="2"/>
      <c r="C751" s="2"/>
      <c r="D751" s="2"/>
      <c r="E751" s="2"/>
      <c r="F751" s="2"/>
      <c r="G751" s="2"/>
      <c r="H751" s="2"/>
      <c r="I751" s="2"/>
      <c r="J751" s="2"/>
      <c r="K751" s="2"/>
      <c r="L751" s="2"/>
    </row>
    <row r="752" spans="1:12" ht="15.75" customHeight="1" x14ac:dyDescent="0.2">
      <c r="A752" s="2"/>
      <c r="B752" s="2"/>
      <c r="C752" s="2"/>
      <c r="D752" s="2"/>
      <c r="E752" s="2"/>
      <c r="F752" s="2"/>
      <c r="G752" s="2"/>
      <c r="H752" s="2"/>
      <c r="I752" s="2"/>
      <c r="J752" s="2"/>
      <c r="K752" s="2"/>
      <c r="L752" s="2"/>
    </row>
    <row r="753" spans="1:12" ht="15.75" customHeight="1" x14ac:dyDescent="0.2">
      <c r="A753" s="2"/>
      <c r="B753" s="2"/>
      <c r="C753" s="2"/>
      <c r="D753" s="2"/>
      <c r="E753" s="2"/>
      <c r="F753" s="2"/>
      <c r="G753" s="2"/>
      <c r="H753" s="2"/>
      <c r="I753" s="2"/>
      <c r="J753" s="2"/>
      <c r="K753" s="2"/>
      <c r="L753" s="2"/>
    </row>
    <row r="754" spans="1:12" ht="15.75" customHeight="1" x14ac:dyDescent="0.2">
      <c r="A754" s="2"/>
      <c r="B754" s="2"/>
      <c r="C754" s="2"/>
      <c r="D754" s="2"/>
      <c r="E754" s="2"/>
      <c r="F754" s="2"/>
      <c r="G754" s="2"/>
      <c r="H754" s="2"/>
      <c r="I754" s="2"/>
      <c r="J754" s="2"/>
      <c r="K754" s="2"/>
      <c r="L754" s="2"/>
    </row>
    <row r="755" spans="1:12" ht="15.75" customHeight="1" x14ac:dyDescent="0.2">
      <c r="A755" s="2"/>
      <c r="B755" s="2"/>
      <c r="C755" s="2"/>
      <c r="D755" s="2"/>
      <c r="E755" s="2"/>
      <c r="F755" s="2"/>
      <c r="G755" s="2"/>
      <c r="H755" s="2"/>
      <c r="I755" s="2"/>
      <c r="J755" s="2"/>
      <c r="K755" s="2"/>
      <c r="L755" s="2"/>
    </row>
    <row r="756" spans="1:12" ht="15.75" customHeight="1" x14ac:dyDescent="0.2">
      <c r="A756" s="2"/>
      <c r="B756" s="2"/>
      <c r="C756" s="2"/>
      <c r="D756" s="2"/>
      <c r="E756" s="2"/>
      <c r="F756" s="2"/>
      <c r="G756" s="2"/>
      <c r="H756" s="2"/>
      <c r="I756" s="2"/>
      <c r="J756" s="2"/>
      <c r="K756" s="2"/>
      <c r="L756" s="2"/>
    </row>
    <row r="757" spans="1:12" ht="15.75" customHeight="1" x14ac:dyDescent="0.2">
      <c r="A757" s="2"/>
      <c r="B757" s="2"/>
      <c r="C757" s="2"/>
      <c r="D757" s="2"/>
      <c r="E757" s="2"/>
      <c r="F757" s="2"/>
      <c r="G757" s="2"/>
      <c r="H757" s="2"/>
      <c r="I757" s="2"/>
      <c r="J757" s="2"/>
      <c r="K757" s="2"/>
      <c r="L757" s="2"/>
    </row>
    <row r="758" spans="1:12" ht="15.75" customHeight="1" x14ac:dyDescent="0.2">
      <c r="A758" s="2"/>
      <c r="B758" s="2"/>
      <c r="C758" s="2"/>
      <c r="D758" s="2"/>
      <c r="E758" s="2"/>
      <c r="F758" s="2"/>
      <c r="G758" s="2"/>
      <c r="H758" s="2"/>
      <c r="I758" s="2"/>
      <c r="J758" s="2"/>
      <c r="K758" s="2"/>
      <c r="L758" s="2"/>
    </row>
    <row r="759" spans="1:12" ht="15.75" customHeight="1" x14ac:dyDescent="0.2">
      <c r="A759" s="2"/>
      <c r="B759" s="2"/>
      <c r="C759" s="2"/>
      <c r="D759" s="2"/>
      <c r="E759" s="2"/>
      <c r="F759" s="2"/>
      <c r="G759" s="2"/>
      <c r="H759" s="2"/>
      <c r="I759" s="2"/>
      <c r="J759" s="2"/>
      <c r="K759" s="2"/>
      <c r="L759" s="2"/>
    </row>
    <row r="760" spans="1:12" ht="15.75" customHeight="1" x14ac:dyDescent="0.2">
      <c r="A760" s="2"/>
      <c r="B760" s="2"/>
      <c r="C760" s="2"/>
      <c r="D760" s="2"/>
      <c r="E760" s="2"/>
      <c r="F760" s="2"/>
      <c r="G760" s="2"/>
      <c r="H760" s="2"/>
      <c r="I760" s="2"/>
      <c r="J760" s="2"/>
      <c r="K760" s="2"/>
      <c r="L760" s="2"/>
    </row>
    <row r="761" spans="1:12" ht="15.75" customHeight="1" x14ac:dyDescent="0.2">
      <c r="A761" s="2"/>
      <c r="B761" s="2"/>
      <c r="C761" s="2"/>
      <c r="D761" s="2"/>
      <c r="E761" s="2"/>
      <c r="F761" s="2"/>
      <c r="G761" s="2"/>
      <c r="H761" s="2"/>
      <c r="I761" s="2"/>
      <c r="J761" s="2"/>
      <c r="K761" s="2"/>
      <c r="L761" s="2"/>
    </row>
    <row r="762" spans="1:12" ht="15.75" customHeight="1" x14ac:dyDescent="0.2">
      <c r="A762" s="2"/>
      <c r="B762" s="2"/>
      <c r="C762" s="2"/>
      <c r="D762" s="2"/>
      <c r="E762" s="2"/>
      <c r="F762" s="2"/>
      <c r="G762" s="2"/>
      <c r="H762" s="2"/>
      <c r="I762" s="2"/>
      <c r="J762" s="2"/>
      <c r="K762" s="2"/>
      <c r="L762" s="2"/>
    </row>
    <row r="763" spans="1:12" ht="15.75" customHeight="1" x14ac:dyDescent="0.2">
      <c r="A763" s="2"/>
      <c r="B763" s="2"/>
      <c r="C763" s="2"/>
      <c r="D763" s="2"/>
      <c r="E763" s="2"/>
      <c r="F763" s="2"/>
      <c r="G763" s="2"/>
      <c r="H763" s="2"/>
      <c r="I763" s="2"/>
      <c r="J763" s="2"/>
      <c r="K763" s="2"/>
      <c r="L763" s="2"/>
    </row>
    <row r="764" spans="1:12" ht="15.75" customHeight="1" x14ac:dyDescent="0.2">
      <c r="A764" s="2"/>
      <c r="B764" s="2"/>
      <c r="C764" s="2"/>
      <c r="D764" s="2"/>
      <c r="E764" s="2"/>
      <c r="F764" s="2"/>
      <c r="G764" s="2"/>
      <c r="H764" s="2"/>
      <c r="I764" s="2"/>
      <c r="J764" s="2"/>
      <c r="K764" s="2"/>
      <c r="L764" s="2"/>
    </row>
    <row r="765" spans="1:12" ht="15.75" customHeight="1" x14ac:dyDescent="0.2">
      <c r="A765" s="2"/>
      <c r="B765" s="2"/>
      <c r="C765" s="2"/>
      <c r="D765" s="2"/>
      <c r="E765" s="2"/>
      <c r="F765" s="2"/>
      <c r="G765" s="2"/>
      <c r="H765" s="2"/>
      <c r="I765" s="2"/>
      <c r="J765" s="2"/>
      <c r="K765" s="2"/>
      <c r="L765" s="2"/>
    </row>
    <row r="766" spans="1:12" ht="15.75" customHeight="1" x14ac:dyDescent="0.2">
      <c r="A766" s="2"/>
      <c r="B766" s="2"/>
      <c r="C766" s="2"/>
      <c r="D766" s="2"/>
      <c r="E766" s="2"/>
      <c r="F766" s="2"/>
      <c r="G766" s="2"/>
      <c r="H766" s="2"/>
      <c r="I766" s="2"/>
      <c r="J766" s="2"/>
      <c r="K766" s="2"/>
      <c r="L766" s="2"/>
    </row>
    <row r="767" spans="1:12" ht="15.75" customHeight="1" x14ac:dyDescent="0.2">
      <c r="A767" s="2"/>
      <c r="B767" s="2"/>
      <c r="C767" s="2"/>
      <c r="D767" s="2"/>
      <c r="E767" s="2"/>
      <c r="F767" s="2"/>
      <c r="G767" s="2"/>
      <c r="H767" s="2"/>
      <c r="I767" s="2"/>
      <c r="J767" s="2"/>
      <c r="K767" s="2"/>
      <c r="L767" s="2"/>
    </row>
    <row r="768" spans="1:12" ht="15.75" customHeight="1" x14ac:dyDescent="0.2">
      <c r="A768" s="2"/>
      <c r="B768" s="2"/>
      <c r="C768" s="2"/>
      <c r="D768" s="2"/>
      <c r="E768" s="2"/>
      <c r="F768" s="2"/>
      <c r="G768" s="2"/>
      <c r="H768" s="2"/>
      <c r="I768" s="2"/>
      <c r="J768" s="2"/>
      <c r="K768" s="2"/>
      <c r="L768" s="2"/>
    </row>
    <row r="769" spans="1:12" ht="15.75" customHeight="1" x14ac:dyDescent="0.2">
      <c r="A769" s="2"/>
      <c r="B769" s="2"/>
      <c r="C769" s="2"/>
      <c r="D769" s="2"/>
      <c r="E769" s="2"/>
      <c r="F769" s="2"/>
      <c r="G769" s="2"/>
      <c r="H769" s="2"/>
      <c r="I769" s="2"/>
      <c r="J769" s="2"/>
      <c r="K769" s="2"/>
      <c r="L769" s="2"/>
    </row>
    <row r="770" spans="1:12" ht="15.75" customHeight="1" x14ac:dyDescent="0.2">
      <c r="A770" s="2"/>
      <c r="B770" s="2"/>
      <c r="C770" s="2"/>
      <c r="D770" s="2"/>
      <c r="E770" s="2"/>
      <c r="F770" s="2"/>
      <c r="G770" s="2"/>
      <c r="H770" s="2"/>
      <c r="I770" s="2"/>
      <c r="J770" s="2"/>
      <c r="K770" s="2"/>
      <c r="L770" s="2"/>
    </row>
    <row r="771" spans="1:12" ht="15.75" customHeight="1" x14ac:dyDescent="0.2">
      <c r="A771" s="2"/>
      <c r="B771" s="2"/>
      <c r="C771" s="2"/>
      <c r="D771" s="2"/>
      <c r="E771" s="2"/>
      <c r="F771" s="2"/>
      <c r="G771" s="2"/>
      <c r="H771" s="2"/>
      <c r="I771" s="2"/>
      <c r="J771" s="2"/>
      <c r="K771" s="2"/>
      <c r="L771" s="2"/>
    </row>
    <row r="772" spans="1:12" ht="15.75" customHeight="1" x14ac:dyDescent="0.2">
      <c r="A772" s="2"/>
      <c r="B772" s="2"/>
      <c r="C772" s="2"/>
      <c r="D772" s="2"/>
      <c r="E772" s="2"/>
      <c r="F772" s="2"/>
      <c r="G772" s="2"/>
      <c r="H772" s="2"/>
      <c r="I772" s="2"/>
      <c r="J772" s="2"/>
      <c r="K772" s="2"/>
      <c r="L772" s="2"/>
    </row>
    <row r="773" spans="1:12" ht="15.75" customHeight="1" x14ac:dyDescent="0.2">
      <c r="A773" s="2"/>
      <c r="B773" s="2"/>
      <c r="C773" s="2"/>
      <c r="D773" s="2"/>
      <c r="E773" s="2"/>
      <c r="F773" s="2"/>
      <c r="G773" s="2"/>
      <c r="H773" s="2"/>
      <c r="I773" s="2"/>
      <c r="J773" s="2"/>
      <c r="K773" s="2"/>
      <c r="L773" s="2"/>
    </row>
    <row r="774" spans="1:12" ht="15.75" customHeight="1" x14ac:dyDescent="0.2">
      <c r="A774" s="2"/>
      <c r="B774" s="2"/>
      <c r="C774" s="2"/>
      <c r="D774" s="2"/>
      <c r="E774" s="2"/>
      <c r="F774" s="2"/>
      <c r="G774" s="2"/>
      <c r="H774" s="2"/>
      <c r="I774" s="2"/>
      <c r="J774" s="2"/>
      <c r="K774" s="2"/>
      <c r="L774" s="2"/>
    </row>
    <row r="775" spans="1:12" ht="15.75" customHeight="1" x14ac:dyDescent="0.2">
      <c r="A775" s="2"/>
      <c r="B775" s="2"/>
      <c r="C775" s="2"/>
      <c r="D775" s="2"/>
      <c r="E775" s="2"/>
      <c r="F775" s="2"/>
      <c r="G775" s="2"/>
      <c r="H775" s="2"/>
      <c r="I775" s="2"/>
      <c r="J775" s="2"/>
      <c r="K775" s="2"/>
      <c r="L775" s="2"/>
    </row>
    <row r="776" spans="1:12" ht="15.75" customHeight="1" x14ac:dyDescent="0.2">
      <c r="A776" s="2"/>
      <c r="B776" s="2"/>
      <c r="C776" s="2"/>
      <c r="D776" s="2"/>
      <c r="E776" s="2"/>
      <c r="F776" s="2"/>
      <c r="G776" s="2"/>
      <c r="H776" s="2"/>
      <c r="I776" s="2"/>
      <c r="J776" s="2"/>
      <c r="K776" s="2"/>
      <c r="L776" s="2"/>
    </row>
    <row r="777" spans="1:12" ht="15.75" customHeight="1" x14ac:dyDescent="0.2">
      <c r="A777" s="2"/>
      <c r="B777" s="2"/>
      <c r="C777" s="2"/>
      <c r="D777" s="2"/>
      <c r="E777" s="2"/>
      <c r="F777" s="2"/>
      <c r="G777" s="2"/>
      <c r="H777" s="2"/>
      <c r="I777" s="2"/>
      <c r="J777" s="2"/>
      <c r="K777" s="2"/>
      <c r="L777" s="2"/>
    </row>
    <row r="778" spans="1:12" ht="15.75" customHeight="1" x14ac:dyDescent="0.2">
      <c r="A778" s="2"/>
      <c r="B778" s="2"/>
      <c r="C778" s="2"/>
      <c r="D778" s="2"/>
      <c r="E778" s="2"/>
      <c r="F778" s="2"/>
      <c r="G778" s="2"/>
      <c r="H778" s="2"/>
      <c r="I778" s="2"/>
      <c r="J778" s="2"/>
      <c r="K778" s="2"/>
      <c r="L778" s="2"/>
    </row>
    <row r="779" spans="1:12" ht="15.75" customHeight="1" x14ac:dyDescent="0.2">
      <c r="A779" s="2"/>
      <c r="B779" s="2"/>
      <c r="C779" s="2"/>
      <c r="D779" s="2"/>
      <c r="E779" s="2"/>
      <c r="F779" s="2"/>
      <c r="G779" s="2"/>
      <c r="H779" s="2"/>
      <c r="I779" s="2"/>
      <c r="J779" s="2"/>
      <c r="K779" s="2"/>
      <c r="L779" s="2"/>
    </row>
    <row r="780" spans="1:12" ht="15.75" customHeight="1" x14ac:dyDescent="0.2">
      <c r="A780" s="2"/>
      <c r="B780" s="2"/>
      <c r="C780" s="2"/>
      <c r="D780" s="2"/>
      <c r="E780" s="2"/>
      <c r="F780" s="2"/>
      <c r="G780" s="2"/>
      <c r="H780" s="2"/>
      <c r="I780" s="2"/>
      <c r="J780" s="2"/>
      <c r="K780" s="2"/>
      <c r="L780" s="2"/>
    </row>
    <row r="781" spans="1:12" ht="15.75" customHeight="1" x14ac:dyDescent="0.2">
      <c r="A781" s="2"/>
      <c r="B781" s="2"/>
      <c r="C781" s="2"/>
      <c r="D781" s="2"/>
      <c r="E781" s="2"/>
      <c r="F781" s="2"/>
      <c r="G781" s="2"/>
      <c r="H781" s="2"/>
      <c r="I781" s="2"/>
      <c r="J781" s="2"/>
      <c r="K781" s="2"/>
      <c r="L781" s="2"/>
    </row>
    <row r="782" spans="1:12" ht="15.75" customHeight="1" x14ac:dyDescent="0.2">
      <c r="A782" s="2"/>
      <c r="B782" s="2"/>
      <c r="C782" s="2"/>
      <c r="D782" s="2"/>
      <c r="E782" s="2"/>
      <c r="F782" s="2"/>
      <c r="G782" s="2"/>
      <c r="H782" s="2"/>
      <c r="I782" s="2"/>
      <c r="J782" s="2"/>
      <c r="K782" s="2"/>
      <c r="L782" s="2"/>
    </row>
    <row r="783" spans="1:12" ht="15.75" customHeight="1" x14ac:dyDescent="0.2">
      <c r="A783" s="2"/>
      <c r="B783" s="2"/>
      <c r="C783" s="2"/>
      <c r="D783" s="2"/>
      <c r="E783" s="2"/>
      <c r="F783" s="2"/>
      <c r="G783" s="2"/>
      <c r="H783" s="2"/>
      <c r="I783" s="2"/>
      <c r="J783" s="2"/>
      <c r="K783" s="2"/>
      <c r="L783" s="2"/>
    </row>
    <row r="784" spans="1:12" ht="15.75" customHeight="1" x14ac:dyDescent="0.2">
      <c r="A784" s="2"/>
      <c r="B784" s="2"/>
      <c r="C784" s="2"/>
      <c r="D784" s="2"/>
      <c r="E784" s="2"/>
      <c r="F784" s="2"/>
      <c r="G784" s="2"/>
      <c r="H784" s="2"/>
      <c r="I784" s="2"/>
      <c r="J784" s="2"/>
      <c r="K784" s="2"/>
      <c r="L784" s="2"/>
    </row>
    <row r="785" spans="1:12" ht="15.75" customHeight="1" x14ac:dyDescent="0.2">
      <c r="A785" s="2"/>
      <c r="B785" s="2"/>
      <c r="C785" s="2"/>
      <c r="D785" s="2"/>
      <c r="E785" s="2"/>
      <c r="F785" s="2"/>
      <c r="G785" s="2"/>
      <c r="H785" s="2"/>
      <c r="I785" s="2"/>
      <c r="J785" s="2"/>
      <c r="K785" s="2"/>
      <c r="L785" s="2"/>
    </row>
    <row r="786" spans="1:12" ht="15.75" customHeight="1" x14ac:dyDescent="0.2">
      <c r="A786" s="2"/>
      <c r="B786" s="2"/>
      <c r="C786" s="2"/>
      <c r="D786" s="2"/>
      <c r="E786" s="2"/>
      <c r="F786" s="2"/>
      <c r="G786" s="2"/>
      <c r="H786" s="2"/>
      <c r="I786" s="2"/>
      <c r="J786" s="2"/>
      <c r="K786" s="2"/>
      <c r="L786" s="2"/>
    </row>
    <row r="787" spans="1:12" ht="15.75" customHeight="1" x14ac:dyDescent="0.2">
      <c r="A787" s="2"/>
      <c r="B787" s="2"/>
      <c r="C787" s="2"/>
      <c r="D787" s="2"/>
      <c r="E787" s="2"/>
      <c r="F787" s="2"/>
      <c r="G787" s="2"/>
      <c r="H787" s="2"/>
      <c r="I787" s="2"/>
      <c r="J787" s="2"/>
      <c r="K787" s="2"/>
      <c r="L787" s="2"/>
    </row>
    <row r="788" spans="1:12" ht="15.75" customHeight="1" x14ac:dyDescent="0.2">
      <c r="A788" s="2"/>
      <c r="B788" s="2"/>
      <c r="C788" s="2"/>
      <c r="D788" s="2"/>
      <c r="E788" s="2"/>
      <c r="F788" s="2"/>
      <c r="G788" s="2"/>
      <c r="H788" s="2"/>
      <c r="I788" s="2"/>
      <c r="J788" s="2"/>
      <c r="K788" s="2"/>
      <c r="L788" s="2"/>
    </row>
    <row r="789" spans="1:12" ht="15.75" customHeight="1" x14ac:dyDescent="0.2">
      <c r="A789" s="2"/>
      <c r="B789" s="2"/>
      <c r="C789" s="2"/>
      <c r="D789" s="2"/>
      <c r="E789" s="2"/>
      <c r="F789" s="2"/>
      <c r="G789" s="2"/>
      <c r="H789" s="2"/>
      <c r="I789" s="2"/>
      <c r="J789" s="2"/>
      <c r="K789" s="2"/>
      <c r="L789" s="2"/>
    </row>
    <row r="790" spans="1:12" ht="15.75" customHeight="1" x14ac:dyDescent="0.2">
      <c r="A790" s="2"/>
      <c r="B790" s="2"/>
      <c r="C790" s="2"/>
      <c r="D790" s="2"/>
      <c r="E790" s="2"/>
      <c r="F790" s="2"/>
      <c r="G790" s="2"/>
      <c r="H790" s="2"/>
      <c r="I790" s="2"/>
      <c r="J790" s="2"/>
      <c r="K790" s="2"/>
      <c r="L790" s="2"/>
    </row>
    <row r="791" spans="1:12" ht="15.75" customHeight="1" x14ac:dyDescent="0.2">
      <c r="A791" s="2"/>
      <c r="B791" s="2"/>
      <c r="C791" s="2"/>
      <c r="D791" s="2"/>
      <c r="E791" s="2"/>
      <c r="F791" s="2"/>
      <c r="G791" s="2"/>
      <c r="H791" s="2"/>
      <c r="I791" s="2"/>
      <c r="J791" s="2"/>
      <c r="K791" s="2"/>
      <c r="L791" s="2"/>
    </row>
    <row r="792" spans="1:12" ht="15.75" customHeight="1" x14ac:dyDescent="0.2">
      <c r="A792" s="2"/>
      <c r="B792" s="2"/>
      <c r="C792" s="2"/>
      <c r="D792" s="2"/>
      <c r="E792" s="2"/>
      <c r="F792" s="2"/>
      <c r="G792" s="2"/>
      <c r="H792" s="2"/>
      <c r="I792" s="2"/>
      <c r="J792" s="2"/>
      <c r="K792" s="2"/>
      <c r="L792" s="2"/>
    </row>
    <row r="793" spans="1:12" ht="15.75" customHeight="1" x14ac:dyDescent="0.2">
      <c r="A793" s="2"/>
      <c r="B793" s="2"/>
      <c r="C793" s="2"/>
      <c r="D793" s="2"/>
      <c r="E793" s="2"/>
      <c r="F793" s="2"/>
      <c r="G793" s="2"/>
      <c r="H793" s="2"/>
      <c r="I793" s="2"/>
      <c r="J793" s="2"/>
      <c r="K793" s="2"/>
      <c r="L793" s="2"/>
    </row>
    <row r="794" spans="1:12" ht="15.75" customHeight="1" x14ac:dyDescent="0.2">
      <c r="A794" s="2"/>
      <c r="B794" s="2"/>
      <c r="C794" s="2"/>
      <c r="D794" s="2"/>
      <c r="E794" s="2"/>
      <c r="F794" s="2"/>
      <c r="G794" s="2"/>
      <c r="H794" s="2"/>
      <c r="I794" s="2"/>
      <c r="J794" s="2"/>
      <c r="K794" s="2"/>
      <c r="L794" s="2"/>
    </row>
    <row r="795" spans="1:12" ht="15.75" customHeight="1" x14ac:dyDescent="0.2">
      <c r="A795" s="2"/>
      <c r="B795" s="2"/>
      <c r="C795" s="2"/>
      <c r="D795" s="2"/>
      <c r="E795" s="2"/>
      <c r="F795" s="2"/>
      <c r="G795" s="2"/>
      <c r="H795" s="2"/>
      <c r="I795" s="2"/>
      <c r="J795" s="2"/>
      <c r="K795" s="2"/>
      <c r="L795" s="2"/>
    </row>
    <row r="796" spans="1:12" ht="15.75" customHeight="1" x14ac:dyDescent="0.2">
      <c r="A796" s="2"/>
      <c r="B796" s="2"/>
      <c r="C796" s="2"/>
      <c r="D796" s="2"/>
      <c r="E796" s="2"/>
      <c r="F796" s="2"/>
      <c r="G796" s="2"/>
      <c r="H796" s="2"/>
      <c r="I796" s="2"/>
      <c r="J796" s="2"/>
      <c r="K796" s="2"/>
      <c r="L796" s="2"/>
    </row>
    <row r="797" spans="1:12" ht="15.75" customHeight="1" x14ac:dyDescent="0.2">
      <c r="A797" s="2"/>
      <c r="B797" s="2"/>
      <c r="C797" s="2"/>
      <c r="D797" s="2"/>
      <c r="E797" s="2"/>
      <c r="F797" s="2"/>
      <c r="G797" s="2"/>
      <c r="H797" s="2"/>
      <c r="I797" s="2"/>
      <c r="J797" s="2"/>
      <c r="K797" s="2"/>
      <c r="L797" s="2"/>
    </row>
    <row r="798" spans="1:12" ht="15.75" customHeight="1" x14ac:dyDescent="0.2">
      <c r="A798" s="2"/>
      <c r="B798" s="2"/>
      <c r="C798" s="2"/>
      <c r="D798" s="2"/>
      <c r="E798" s="2"/>
      <c r="F798" s="2"/>
      <c r="G798" s="2"/>
      <c r="H798" s="2"/>
      <c r="I798" s="2"/>
      <c r="J798" s="2"/>
      <c r="K798" s="2"/>
      <c r="L798" s="2"/>
    </row>
    <row r="799" spans="1:12" ht="15.75" customHeight="1" x14ac:dyDescent="0.2">
      <c r="A799" s="2"/>
      <c r="B799" s="2"/>
      <c r="C799" s="2"/>
      <c r="D799" s="2"/>
      <c r="E799" s="2"/>
      <c r="F799" s="2"/>
      <c r="G799" s="2"/>
      <c r="H799" s="2"/>
      <c r="I799" s="2"/>
      <c r="J799" s="2"/>
      <c r="K799" s="2"/>
      <c r="L799" s="2"/>
    </row>
    <row r="800" spans="1:12" ht="15.75" customHeight="1" x14ac:dyDescent="0.2">
      <c r="A800" s="2"/>
      <c r="B800" s="2"/>
      <c r="C800" s="2"/>
      <c r="D800" s="2"/>
      <c r="E800" s="2"/>
      <c r="F800" s="2"/>
      <c r="G800" s="2"/>
      <c r="H800" s="2"/>
      <c r="I800" s="2"/>
      <c r="J800" s="2"/>
      <c r="K800" s="2"/>
      <c r="L800" s="2"/>
    </row>
    <row r="801" spans="1:12" ht="15.75" customHeight="1" x14ac:dyDescent="0.2">
      <c r="A801" s="2"/>
      <c r="B801" s="2"/>
      <c r="C801" s="2"/>
      <c r="D801" s="2"/>
      <c r="E801" s="2"/>
      <c r="F801" s="2"/>
      <c r="G801" s="2"/>
      <c r="H801" s="2"/>
      <c r="I801" s="2"/>
      <c r="J801" s="2"/>
      <c r="K801" s="2"/>
      <c r="L801" s="2"/>
    </row>
    <row r="802" spans="1:12" ht="15.75" customHeight="1" x14ac:dyDescent="0.2">
      <c r="A802" s="2"/>
      <c r="B802" s="2"/>
      <c r="C802" s="2"/>
      <c r="D802" s="2"/>
      <c r="E802" s="2"/>
      <c r="F802" s="2"/>
      <c r="G802" s="2"/>
      <c r="H802" s="2"/>
      <c r="I802" s="2"/>
      <c r="J802" s="2"/>
      <c r="K802" s="2"/>
      <c r="L802" s="2"/>
    </row>
    <row r="803" spans="1:12" ht="15.75" customHeight="1" x14ac:dyDescent="0.2">
      <c r="A803" s="2"/>
      <c r="B803" s="2"/>
      <c r="C803" s="2"/>
      <c r="D803" s="2"/>
      <c r="E803" s="2"/>
      <c r="F803" s="2"/>
      <c r="G803" s="2"/>
      <c r="H803" s="2"/>
      <c r="I803" s="2"/>
      <c r="J803" s="2"/>
      <c r="K803" s="2"/>
      <c r="L803" s="2"/>
    </row>
    <row r="804" spans="1:12" ht="15.75" customHeight="1" x14ac:dyDescent="0.2">
      <c r="A804" s="2"/>
      <c r="B804" s="2"/>
      <c r="C804" s="2"/>
      <c r="D804" s="2"/>
      <c r="E804" s="2"/>
      <c r="F804" s="2"/>
      <c r="G804" s="2"/>
      <c r="H804" s="2"/>
      <c r="I804" s="2"/>
      <c r="J804" s="2"/>
      <c r="K804" s="2"/>
      <c r="L804" s="2"/>
    </row>
    <row r="805" spans="1:12" ht="15.75" customHeight="1" x14ac:dyDescent="0.2">
      <c r="A805" s="2"/>
      <c r="B805" s="2"/>
      <c r="C805" s="2"/>
      <c r="D805" s="2"/>
      <c r="E805" s="2"/>
      <c r="F805" s="2"/>
      <c r="G805" s="2"/>
      <c r="H805" s="2"/>
      <c r="I805" s="2"/>
      <c r="J805" s="2"/>
      <c r="K805" s="2"/>
      <c r="L805" s="2"/>
    </row>
    <row r="806" spans="1:12" ht="15.75" customHeight="1" x14ac:dyDescent="0.2">
      <c r="A806" s="2"/>
      <c r="B806" s="2"/>
      <c r="C806" s="2"/>
      <c r="D806" s="2"/>
      <c r="E806" s="2"/>
      <c r="F806" s="2"/>
      <c r="G806" s="2"/>
      <c r="H806" s="2"/>
      <c r="I806" s="2"/>
      <c r="J806" s="2"/>
      <c r="K806" s="2"/>
      <c r="L806" s="2"/>
    </row>
    <row r="807" spans="1:12" ht="15.75" customHeight="1" x14ac:dyDescent="0.2">
      <c r="A807" s="2"/>
      <c r="B807" s="2"/>
      <c r="C807" s="2"/>
      <c r="D807" s="2"/>
      <c r="E807" s="2"/>
      <c r="F807" s="2"/>
      <c r="G807" s="2"/>
      <c r="H807" s="2"/>
      <c r="I807" s="2"/>
      <c r="J807" s="2"/>
      <c r="K807" s="2"/>
      <c r="L807" s="2"/>
    </row>
    <row r="808" spans="1:12" ht="15.75" customHeight="1" x14ac:dyDescent="0.2">
      <c r="A808" s="2"/>
      <c r="B808" s="2"/>
      <c r="C808" s="2"/>
      <c r="D808" s="2"/>
      <c r="E808" s="2"/>
      <c r="F808" s="2"/>
      <c r="G808" s="2"/>
      <c r="H808" s="2"/>
      <c r="I808" s="2"/>
      <c r="J808" s="2"/>
      <c r="K808" s="2"/>
      <c r="L808" s="2"/>
    </row>
    <row r="809" spans="1:12" ht="15.75" customHeight="1" x14ac:dyDescent="0.2">
      <c r="A809" s="2"/>
      <c r="B809" s="2"/>
      <c r="C809" s="2"/>
      <c r="D809" s="2"/>
      <c r="E809" s="2"/>
      <c r="F809" s="2"/>
      <c r="G809" s="2"/>
      <c r="H809" s="2"/>
      <c r="I809" s="2"/>
      <c r="J809" s="2"/>
      <c r="K809" s="2"/>
      <c r="L809" s="2"/>
    </row>
    <row r="810" spans="1:12" ht="15.75" customHeight="1" x14ac:dyDescent="0.2">
      <c r="A810" s="2"/>
      <c r="B810" s="2"/>
      <c r="C810" s="2"/>
      <c r="D810" s="2"/>
      <c r="E810" s="2"/>
      <c r="F810" s="2"/>
      <c r="G810" s="2"/>
      <c r="H810" s="2"/>
      <c r="I810" s="2"/>
      <c r="J810" s="2"/>
      <c r="K810" s="2"/>
      <c r="L810" s="2"/>
    </row>
    <row r="811" spans="1:12" ht="15.75" customHeight="1" x14ac:dyDescent="0.2">
      <c r="A811" s="2"/>
      <c r="B811" s="2"/>
      <c r="C811" s="2"/>
      <c r="D811" s="2"/>
      <c r="E811" s="2"/>
      <c r="F811" s="2"/>
      <c r="G811" s="2"/>
      <c r="H811" s="2"/>
      <c r="I811" s="2"/>
      <c r="J811" s="2"/>
      <c r="K811" s="2"/>
      <c r="L811" s="2"/>
    </row>
    <row r="812" spans="1:12" ht="15.75" customHeight="1" x14ac:dyDescent="0.2">
      <c r="A812" s="2"/>
      <c r="B812" s="2"/>
      <c r="C812" s="2"/>
      <c r="D812" s="2"/>
      <c r="E812" s="2"/>
      <c r="F812" s="2"/>
      <c r="G812" s="2"/>
      <c r="H812" s="2"/>
      <c r="I812" s="2"/>
      <c r="J812" s="2"/>
      <c r="K812" s="2"/>
      <c r="L812" s="2"/>
    </row>
    <row r="813" spans="1:12" ht="15.75" customHeight="1" x14ac:dyDescent="0.2">
      <c r="A813" s="2"/>
      <c r="B813" s="2"/>
      <c r="C813" s="2"/>
      <c r="D813" s="2"/>
      <c r="E813" s="2"/>
      <c r="F813" s="2"/>
      <c r="G813" s="2"/>
      <c r="H813" s="2"/>
      <c r="I813" s="2"/>
      <c r="J813" s="2"/>
      <c r="K813" s="2"/>
      <c r="L813" s="2"/>
    </row>
    <row r="814" spans="1:12" ht="15.75" customHeight="1" x14ac:dyDescent="0.2">
      <c r="A814" s="2"/>
      <c r="B814" s="2"/>
      <c r="C814" s="2"/>
      <c r="D814" s="2"/>
      <c r="E814" s="2"/>
      <c r="F814" s="2"/>
      <c r="G814" s="2"/>
      <c r="H814" s="2"/>
      <c r="I814" s="2"/>
      <c r="J814" s="2"/>
      <c r="K814" s="2"/>
      <c r="L814" s="2"/>
    </row>
    <row r="815" spans="1:12" ht="15.75" customHeight="1" x14ac:dyDescent="0.2">
      <c r="A815" s="2"/>
      <c r="B815" s="2"/>
      <c r="C815" s="2"/>
      <c r="D815" s="2"/>
      <c r="E815" s="2"/>
      <c r="F815" s="2"/>
      <c r="G815" s="2"/>
      <c r="H815" s="2"/>
      <c r="I815" s="2"/>
      <c r="J815" s="2"/>
      <c r="K815" s="2"/>
      <c r="L815" s="2"/>
    </row>
    <row r="816" spans="1:12" ht="15.75" customHeight="1" x14ac:dyDescent="0.2">
      <c r="A816" s="2"/>
      <c r="B816" s="2"/>
      <c r="C816" s="2"/>
      <c r="D816" s="2"/>
      <c r="E816" s="2"/>
      <c r="F816" s="2"/>
      <c r="G816" s="2"/>
      <c r="H816" s="2"/>
      <c r="I816" s="2"/>
      <c r="J816" s="2"/>
      <c r="K816" s="2"/>
      <c r="L816" s="2"/>
    </row>
    <row r="817" spans="1:12" ht="15.75" customHeight="1" x14ac:dyDescent="0.2">
      <c r="A817" s="2"/>
      <c r="B817" s="2"/>
      <c r="C817" s="2"/>
      <c r="D817" s="2"/>
      <c r="E817" s="2"/>
      <c r="F817" s="2"/>
      <c r="G817" s="2"/>
      <c r="H817" s="2"/>
      <c r="I817" s="2"/>
      <c r="J817" s="2"/>
      <c r="K817" s="2"/>
      <c r="L817" s="2"/>
    </row>
    <row r="818" spans="1:12" ht="15.75" customHeight="1" x14ac:dyDescent="0.2">
      <c r="A818" s="2"/>
      <c r="B818" s="2"/>
      <c r="C818" s="2"/>
      <c r="D818" s="2"/>
      <c r="E818" s="2"/>
      <c r="F818" s="2"/>
      <c r="G818" s="2"/>
      <c r="H818" s="2"/>
      <c r="I818" s="2"/>
      <c r="J818" s="2"/>
      <c r="K818" s="2"/>
      <c r="L818" s="2"/>
    </row>
    <row r="819" spans="1:12" ht="15.75" customHeight="1" x14ac:dyDescent="0.2">
      <c r="A819" s="2"/>
      <c r="B819" s="2"/>
      <c r="C819" s="2"/>
      <c r="D819" s="2"/>
      <c r="E819" s="2"/>
      <c r="F819" s="2"/>
      <c r="G819" s="2"/>
      <c r="H819" s="2"/>
      <c r="I819" s="2"/>
      <c r="J819" s="2"/>
      <c r="K819" s="2"/>
      <c r="L819" s="2"/>
    </row>
    <row r="820" spans="1:12" ht="15.75" customHeight="1" x14ac:dyDescent="0.2">
      <c r="A820" s="2"/>
      <c r="B820" s="2"/>
      <c r="C820" s="2"/>
      <c r="D820" s="2"/>
      <c r="E820" s="2"/>
      <c r="F820" s="2"/>
      <c r="G820" s="2"/>
      <c r="H820" s="2"/>
      <c r="I820" s="2"/>
      <c r="J820" s="2"/>
      <c r="K820" s="2"/>
      <c r="L820" s="2"/>
    </row>
    <row r="821" spans="1:12" ht="15.75" customHeight="1" x14ac:dyDescent="0.2">
      <c r="A821" s="2"/>
      <c r="B821" s="2"/>
      <c r="C821" s="2"/>
      <c r="D821" s="2"/>
      <c r="E821" s="2"/>
      <c r="F821" s="2"/>
      <c r="G821" s="2"/>
      <c r="H821" s="2"/>
      <c r="I821" s="2"/>
      <c r="J821" s="2"/>
      <c r="K821" s="2"/>
      <c r="L821" s="2"/>
    </row>
    <row r="822" spans="1:12" ht="15.75" customHeight="1" x14ac:dyDescent="0.2">
      <c r="A822" s="2"/>
      <c r="B822" s="2"/>
      <c r="C822" s="2"/>
      <c r="D822" s="2"/>
      <c r="E822" s="2"/>
      <c r="F822" s="2"/>
      <c r="G822" s="2"/>
      <c r="H822" s="2"/>
      <c r="I822" s="2"/>
      <c r="J822" s="2"/>
      <c r="K822" s="2"/>
      <c r="L822" s="2"/>
    </row>
    <row r="823" spans="1:12" ht="15.75" customHeight="1" x14ac:dyDescent="0.2">
      <c r="A823" s="2"/>
      <c r="B823" s="2"/>
      <c r="C823" s="2"/>
      <c r="D823" s="2"/>
      <c r="E823" s="2"/>
      <c r="F823" s="2"/>
      <c r="G823" s="2"/>
      <c r="H823" s="2"/>
      <c r="I823" s="2"/>
      <c r="J823" s="2"/>
      <c r="K823" s="2"/>
      <c r="L823" s="2"/>
    </row>
    <row r="824" spans="1:12" ht="15.75" customHeight="1" x14ac:dyDescent="0.2">
      <c r="A824" s="2"/>
      <c r="B824" s="2"/>
      <c r="C824" s="2"/>
      <c r="D824" s="2"/>
      <c r="E824" s="2"/>
      <c r="F824" s="2"/>
      <c r="G824" s="2"/>
      <c r="H824" s="2"/>
      <c r="I824" s="2"/>
      <c r="J824" s="2"/>
      <c r="K824" s="2"/>
      <c r="L824" s="2"/>
    </row>
    <row r="825" spans="1:12" ht="15.75" customHeight="1" x14ac:dyDescent="0.2">
      <c r="A825" s="2"/>
      <c r="B825" s="2"/>
      <c r="C825" s="2"/>
      <c r="D825" s="2"/>
      <c r="E825" s="2"/>
      <c r="F825" s="2"/>
      <c r="G825" s="2"/>
      <c r="H825" s="2"/>
      <c r="I825" s="2"/>
      <c r="J825" s="2"/>
      <c r="K825" s="2"/>
      <c r="L825" s="2"/>
    </row>
    <row r="826" spans="1:12" ht="15.75" customHeight="1" x14ac:dyDescent="0.2">
      <c r="A826" s="2"/>
      <c r="B826" s="2"/>
      <c r="C826" s="2"/>
      <c r="D826" s="2"/>
      <c r="E826" s="2"/>
      <c r="F826" s="2"/>
      <c r="G826" s="2"/>
      <c r="H826" s="2"/>
      <c r="I826" s="2"/>
      <c r="J826" s="2"/>
      <c r="K826" s="2"/>
      <c r="L826" s="2"/>
    </row>
    <row r="827" spans="1:12" ht="15.75" customHeight="1" x14ac:dyDescent="0.2">
      <c r="A827" s="2"/>
      <c r="B827" s="2"/>
      <c r="C827" s="2"/>
      <c r="D827" s="2"/>
      <c r="E827" s="2"/>
      <c r="F827" s="2"/>
      <c r="G827" s="2"/>
      <c r="H827" s="2"/>
      <c r="I827" s="2"/>
      <c r="J827" s="2"/>
      <c r="K827" s="2"/>
      <c r="L827" s="2"/>
    </row>
    <row r="828" spans="1:12" ht="15.75" customHeight="1" x14ac:dyDescent="0.2">
      <c r="A828" s="2"/>
      <c r="B828" s="2"/>
      <c r="C828" s="2"/>
      <c r="D828" s="2"/>
      <c r="E828" s="2"/>
      <c r="F828" s="2"/>
      <c r="G828" s="2"/>
      <c r="H828" s="2"/>
      <c r="I828" s="2"/>
      <c r="J828" s="2"/>
      <c r="K828" s="2"/>
      <c r="L828" s="2"/>
    </row>
    <row r="829" spans="1:12" ht="15.75" customHeight="1" x14ac:dyDescent="0.2">
      <c r="A829" s="2"/>
      <c r="B829" s="2"/>
      <c r="C829" s="2"/>
      <c r="D829" s="2"/>
      <c r="E829" s="2"/>
      <c r="F829" s="2"/>
      <c r="G829" s="2"/>
      <c r="H829" s="2"/>
      <c r="I829" s="2"/>
      <c r="J829" s="2"/>
      <c r="K829" s="2"/>
      <c r="L829" s="2"/>
    </row>
    <row r="830" spans="1:12" ht="15.75" customHeight="1" x14ac:dyDescent="0.2">
      <c r="A830" s="2"/>
      <c r="B830" s="2"/>
      <c r="C830" s="2"/>
      <c r="D830" s="2"/>
      <c r="E830" s="2"/>
      <c r="F830" s="2"/>
      <c r="G830" s="2"/>
      <c r="H830" s="2"/>
      <c r="I830" s="2"/>
      <c r="J830" s="2"/>
      <c r="K830" s="2"/>
      <c r="L830" s="2"/>
    </row>
    <row r="831" spans="1:12" ht="15.75" customHeight="1" x14ac:dyDescent="0.2">
      <c r="A831" s="2"/>
      <c r="B831" s="2"/>
      <c r="C831" s="2"/>
      <c r="D831" s="2"/>
      <c r="E831" s="2"/>
      <c r="F831" s="2"/>
      <c r="G831" s="2"/>
      <c r="H831" s="2"/>
      <c r="I831" s="2"/>
      <c r="J831" s="2"/>
      <c r="K831" s="2"/>
      <c r="L831" s="2"/>
    </row>
    <row r="832" spans="1:12" ht="15.75" customHeight="1" x14ac:dyDescent="0.2">
      <c r="A832" s="2"/>
      <c r="B832" s="2"/>
      <c r="C832" s="2"/>
      <c r="D832" s="2"/>
      <c r="E832" s="2"/>
      <c r="F832" s="2"/>
      <c r="G832" s="2"/>
      <c r="H832" s="2"/>
      <c r="I832" s="2"/>
      <c r="J832" s="2"/>
      <c r="K832" s="2"/>
      <c r="L832" s="2"/>
    </row>
    <row r="833" spans="1:12" ht="15.75" customHeight="1" x14ac:dyDescent="0.2">
      <c r="A833" s="2"/>
      <c r="B833" s="2"/>
      <c r="C833" s="2"/>
      <c r="D833" s="2"/>
      <c r="E833" s="2"/>
      <c r="F833" s="2"/>
      <c r="G833" s="2"/>
      <c r="H833" s="2"/>
      <c r="I833" s="2"/>
      <c r="J833" s="2"/>
      <c r="K833" s="2"/>
      <c r="L833" s="2"/>
    </row>
    <row r="834" spans="1:12" ht="15.75" customHeight="1" x14ac:dyDescent="0.2">
      <c r="A834" s="2"/>
      <c r="B834" s="2"/>
      <c r="C834" s="2"/>
      <c r="D834" s="2"/>
      <c r="E834" s="2"/>
      <c r="F834" s="2"/>
      <c r="G834" s="2"/>
      <c r="H834" s="2"/>
      <c r="I834" s="2"/>
      <c r="J834" s="2"/>
      <c r="K834" s="2"/>
      <c r="L834" s="2"/>
    </row>
    <row r="835" spans="1:12" ht="15.75" customHeight="1" x14ac:dyDescent="0.2">
      <c r="A835" s="2"/>
      <c r="B835" s="2"/>
      <c r="C835" s="2"/>
      <c r="D835" s="2"/>
      <c r="E835" s="2"/>
      <c r="F835" s="2"/>
      <c r="G835" s="2"/>
      <c r="H835" s="2"/>
      <c r="I835" s="2"/>
      <c r="J835" s="2"/>
      <c r="K835" s="2"/>
      <c r="L835" s="2"/>
    </row>
    <row r="836" spans="1:12" ht="15.75" customHeight="1" x14ac:dyDescent="0.2">
      <c r="A836" s="2"/>
      <c r="B836" s="2"/>
      <c r="C836" s="2"/>
      <c r="D836" s="2"/>
      <c r="E836" s="2"/>
      <c r="F836" s="2"/>
      <c r="G836" s="2"/>
      <c r="H836" s="2"/>
      <c r="I836" s="2"/>
      <c r="J836" s="2"/>
      <c r="K836" s="2"/>
      <c r="L836" s="2"/>
    </row>
    <row r="837" spans="1:12" ht="15.75" customHeight="1" x14ac:dyDescent="0.2">
      <c r="A837" s="2"/>
      <c r="B837" s="2"/>
      <c r="C837" s="2"/>
      <c r="D837" s="2"/>
      <c r="E837" s="2"/>
      <c r="F837" s="2"/>
      <c r="G837" s="2"/>
      <c r="H837" s="2"/>
      <c r="I837" s="2"/>
      <c r="J837" s="2"/>
      <c r="K837" s="2"/>
      <c r="L837" s="2"/>
    </row>
    <row r="838" spans="1:12" ht="15.75" customHeight="1" x14ac:dyDescent="0.2">
      <c r="A838" s="2"/>
      <c r="B838" s="2"/>
      <c r="C838" s="2"/>
      <c r="D838" s="2"/>
      <c r="E838" s="2"/>
      <c r="F838" s="2"/>
      <c r="G838" s="2"/>
      <c r="H838" s="2"/>
      <c r="I838" s="2"/>
      <c r="J838" s="2"/>
      <c r="K838" s="2"/>
      <c r="L838" s="2"/>
    </row>
    <row r="839" spans="1:12" ht="15.75" customHeight="1" x14ac:dyDescent="0.2">
      <c r="A839" s="2"/>
      <c r="B839" s="2"/>
      <c r="C839" s="2"/>
      <c r="D839" s="2"/>
      <c r="E839" s="2"/>
      <c r="F839" s="2"/>
      <c r="G839" s="2"/>
      <c r="H839" s="2"/>
      <c r="I839" s="2"/>
      <c r="J839" s="2"/>
      <c r="K839" s="2"/>
      <c r="L839" s="2"/>
    </row>
    <row r="840" spans="1:12" ht="15.75" customHeight="1" x14ac:dyDescent="0.2">
      <c r="A840" s="2"/>
      <c r="B840" s="2"/>
      <c r="C840" s="2"/>
      <c r="D840" s="2"/>
      <c r="E840" s="2"/>
      <c r="F840" s="2"/>
      <c r="G840" s="2"/>
      <c r="H840" s="2"/>
      <c r="I840" s="2"/>
      <c r="J840" s="2"/>
      <c r="K840" s="2"/>
      <c r="L840" s="2"/>
    </row>
    <row r="841" spans="1:12" ht="15.75" customHeight="1" x14ac:dyDescent="0.2">
      <c r="A841" s="2"/>
      <c r="B841" s="2"/>
      <c r="C841" s="2"/>
      <c r="D841" s="2"/>
      <c r="E841" s="2"/>
      <c r="F841" s="2"/>
      <c r="G841" s="2"/>
      <c r="H841" s="2"/>
      <c r="I841" s="2"/>
      <c r="J841" s="2"/>
      <c r="K841" s="2"/>
      <c r="L841" s="2"/>
    </row>
    <row r="842" spans="1:12" ht="15.75" customHeight="1" x14ac:dyDescent="0.2">
      <c r="A842" s="2"/>
      <c r="B842" s="2"/>
      <c r="C842" s="2"/>
      <c r="D842" s="2"/>
      <c r="E842" s="2"/>
      <c r="F842" s="2"/>
      <c r="G842" s="2"/>
      <c r="H842" s="2"/>
      <c r="I842" s="2"/>
      <c r="J842" s="2"/>
      <c r="K842" s="2"/>
      <c r="L842" s="2"/>
    </row>
    <row r="843" spans="1:12" ht="15.75" customHeight="1" x14ac:dyDescent="0.2">
      <c r="A843" s="2"/>
      <c r="B843" s="2"/>
      <c r="C843" s="2"/>
      <c r="D843" s="2"/>
      <c r="E843" s="2"/>
      <c r="F843" s="2"/>
      <c r="G843" s="2"/>
      <c r="H843" s="2"/>
      <c r="I843" s="2"/>
      <c r="J843" s="2"/>
      <c r="K843" s="2"/>
      <c r="L843" s="2"/>
    </row>
    <row r="844" spans="1:12" ht="15.75" customHeight="1" x14ac:dyDescent="0.2">
      <c r="A844" s="2"/>
      <c r="B844" s="2"/>
      <c r="C844" s="2"/>
      <c r="D844" s="2"/>
      <c r="E844" s="2"/>
      <c r="F844" s="2"/>
      <c r="G844" s="2"/>
      <c r="H844" s="2"/>
      <c r="I844" s="2"/>
      <c r="J844" s="2"/>
      <c r="K844" s="2"/>
      <c r="L844" s="2"/>
    </row>
    <row r="845" spans="1:12" ht="15.75" customHeight="1" x14ac:dyDescent="0.2">
      <c r="A845" s="2"/>
      <c r="B845" s="2"/>
      <c r="C845" s="2"/>
      <c r="D845" s="2"/>
      <c r="E845" s="2"/>
      <c r="F845" s="2"/>
      <c r="G845" s="2"/>
      <c r="H845" s="2"/>
      <c r="I845" s="2"/>
      <c r="J845" s="2"/>
      <c r="K845" s="2"/>
      <c r="L845" s="2"/>
    </row>
    <row r="846" spans="1:12" ht="15.75" customHeight="1" x14ac:dyDescent="0.2">
      <c r="A846" s="2"/>
      <c r="B846" s="2"/>
      <c r="C846" s="2"/>
      <c r="D846" s="2"/>
      <c r="E846" s="2"/>
      <c r="F846" s="2"/>
      <c r="G846" s="2"/>
      <c r="H846" s="2"/>
      <c r="I846" s="2"/>
      <c r="J846" s="2"/>
      <c r="K846" s="2"/>
      <c r="L846" s="2"/>
    </row>
    <row r="847" spans="1:12" ht="15.75" customHeight="1" x14ac:dyDescent="0.2">
      <c r="A847" s="2"/>
      <c r="B847" s="2"/>
      <c r="C847" s="2"/>
      <c r="D847" s="2"/>
      <c r="E847" s="2"/>
      <c r="F847" s="2"/>
      <c r="G847" s="2"/>
      <c r="H847" s="2"/>
      <c r="I847" s="2"/>
      <c r="J847" s="2"/>
      <c r="K847" s="2"/>
      <c r="L847" s="2"/>
    </row>
    <row r="848" spans="1:12" ht="15.75" customHeight="1" x14ac:dyDescent="0.2">
      <c r="A848" s="2"/>
      <c r="B848" s="2"/>
      <c r="C848" s="2"/>
      <c r="D848" s="2"/>
      <c r="E848" s="2"/>
      <c r="F848" s="2"/>
      <c r="G848" s="2"/>
      <c r="H848" s="2"/>
      <c r="I848" s="2"/>
      <c r="J848" s="2"/>
      <c r="K848" s="2"/>
      <c r="L848" s="2"/>
    </row>
    <row r="849" spans="1:12" ht="15.75" customHeight="1" x14ac:dyDescent="0.2">
      <c r="A849" s="2"/>
      <c r="B849" s="2"/>
      <c r="C849" s="2"/>
      <c r="D849" s="2"/>
      <c r="E849" s="2"/>
      <c r="F849" s="2"/>
      <c r="G849" s="2"/>
      <c r="H849" s="2"/>
      <c r="I849" s="2"/>
      <c r="J849" s="2"/>
      <c r="K849" s="2"/>
      <c r="L849" s="2"/>
    </row>
    <row r="850" spans="1:12" ht="15.75" customHeight="1" x14ac:dyDescent="0.2">
      <c r="A850" s="2"/>
      <c r="B850" s="2"/>
      <c r="C850" s="2"/>
      <c r="D850" s="2"/>
      <c r="E850" s="2"/>
      <c r="F850" s="2"/>
      <c r="G850" s="2"/>
      <c r="H850" s="2"/>
      <c r="I850" s="2"/>
      <c r="J850" s="2"/>
      <c r="K850" s="2"/>
      <c r="L850" s="2"/>
    </row>
    <row r="851" spans="1:12" ht="15.75" customHeight="1" x14ac:dyDescent="0.2">
      <c r="A851" s="2"/>
      <c r="B851" s="2"/>
      <c r="C851" s="2"/>
      <c r="D851" s="2"/>
      <c r="E851" s="2"/>
      <c r="F851" s="2"/>
      <c r="G851" s="2"/>
      <c r="H851" s="2"/>
      <c r="I851" s="2"/>
      <c r="J851" s="2"/>
      <c r="K851" s="2"/>
      <c r="L851" s="2"/>
    </row>
    <row r="852" spans="1:12" ht="15.75" customHeight="1" x14ac:dyDescent="0.2">
      <c r="A852" s="2"/>
      <c r="B852" s="2"/>
      <c r="C852" s="2"/>
      <c r="D852" s="2"/>
      <c r="E852" s="2"/>
      <c r="F852" s="2"/>
      <c r="G852" s="2"/>
      <c r="H852" s="2"/>
      <c r="I852" s="2"/>
      <c r="J852" s="2"/>
      <c r="K852" s="2"/>
      <c r="L852" s="2"/>
    </row>
    <row r="853" spans="1:12" ht="15.75" customHeight="1" x14ac:dyDescent="0.2">
      <c r="A853" s="2"/>
      <c r="B853" s="2"/>
      <c r="C853" s="2"/>
      <c r="D853" s="2"/>
      <c r="E853" s="2"/>
      <c r="F853" s="2"/>
      <c r="G853" s="2"/>
      <c r="H853" s="2"/>
      <c r="I853" s="2"/>
      <c r="J853" s="2"/>
      <c r="K853" s="2"/>
      <c r="L853" s="2"/>
    </row>
    <row r="854" spans="1:12" ht="15.75" customHeight="1" x14ac:dyDescent="0.2">
      <c r="A854" s="2"/>
      <c r="B854" s="2"/>
      <c r="C854" s="2"/>
      <c r="D854" s="2"/>
      <c r="E854" s="2"/>
      <c r="F854" s="2"/>
      <c r="G854" s="2"/>
      <c r="H854" s="2"/>
      <c r="I854" s="2"/>
      <c r="J854" s="2"/>
      <c r="K854" s="2"/>
      <c r="L854" s="2"/>
    </row>
    <row r="855" spans="1:12" ht="15.75" customHeight="1" x14ac:dyDescent="0.2">
      <c r="A855" s="2"/>
      <c r="B855" s="2"/>
      <c r="C855" s="2"/>
      <c r="D855" s="2"/>
      <c r="E855" s="2"/>
      <c r="F855" s="2"/>
      <c r="G855" s="2"/>
      <c r="H855" s="2"/>
      <c r="I855" s="2"/>
      <c r="J855" s="2"/>
      <c r="K855" s="2"/>
      <c r="L855" s="2"/>
    </row>
    <row r="856" spans="1:12" ht="15.75" customHeight="1" x14ac:dyDescent="0.2">
      <c r="A856" s="2"/>
      <c r="B856" s="2"/>
      <c r="C856" s="2"/>
      <c r="D856" s="2"/>
      <c r="E856" s="2"/>
      <c r="F856" s="2"/>
      <c r="G856" s="2"/>
      <c r="H856" s="2"/>
      <c r="I856" s="2"/>
      <c r="J856" s="2"/>
      <c r="K856" s="2"/>
      <c r="L856" s="2"/>
    </row>
    <row r="857" spans="1:12" ht="15.75" customHeight="1" x14ac:dyDescent="0.2">
      <c r="A857" s="2"/>
      <c r="B857" s="2"/>
      <c r="C857" s="2"/>
      <c r="D857" s="2"/>
      <c r="E857" s="2"/>
      <c r="F857" s="2"/>
      <c r="G857" s="2"/>
      <c r="H857" s="2"/>
      <c r="I857" s="2"/>
      <c r="J857" s="2"/>
      <c r="K857" s="2"/>
      <c r="L857" s="2"/>
    </row>
    <row r="858" spans="1:12" ht="15.75" customHeight="1" x14ac:dyDescent="0.2">
      <c r="A858" s="2"/>
      <c r="B858" s="2"/>
      <c r="C858" s="2"/>
      <c r="D858" s="2"/>
      <c r="E858" s="2"/>
      <c r="F858" s="2"/>
      <c r="G858" s="2"/>
      <c r="H858" s="2"/>
      <c r="I858" s="2"/>
      <c r="J858" s="2"/>
      <c r="K858" s="2"/>
      <c r="L858" s="2"/>
    </row>
    <row r="859" spans="1:12" ht="15.75" customHeight="1" x14ac:dyDescent="0.2">
      <c r="A859" s="2"/>
      <c r="B859" s="2"/>
      <c r="C859" s="2"/>
      <c r="D859" s="2"/>
      <c r="E859" s="2"/>
      <c r="F859" s="2"/>
      <c r="G859" s="2"/>
      <c r="H859" s="2"/>
      <c r="I859" s="2"/>
      <c r="J859" s="2"/>
      <c r="K859" s="2"/>
      <c r="L859" s="2"/>
    </row>
    <row r="860" spans="1:12" ht="15.75" customHeight="1" x14ac:dyDescent="0.2">
      <c r="A860" s="2"/>
      <c r="B860" s="2"/>
      <c r="C860" s="2"/>
      <c r="D860" s="2"/>
      <c r="E860" s="2"/>
      <c r="F860" s="2"/>
      <c r="G860" s="2"/>
      <c r="H860" s="2"/>
      <c r="I860" s="2"/>
      <c r="J860" s="2"/>
      <c r="K860" s="2"/>
      <c r="L860" s="2"/>
    </row>
    <row r="861" spans="1:12" ht="15.75" customHeight="1" x14ac:dyDescent="0.2">
      <c r="A861" s="2"/>
      <c r="B861" s="2"/>
      <c r="C861" s="2"/>
      <c r="D861" s="2"/>
      <c r="E861" s="2"/>
      <c r="F861" s="2"/>
      <c r="G861" s="2"/>
      <c r="H861" s="2"/>
      <c r="I861" s="2"/>
      <c r="J861" s="2"/>
      <c r="K861" s="2"/>
      <c r="L861" s="2"/>
    </row>
    <row r="862" spans="1:12" ht="15.75" customHeight="1" x14ac:dyDescent="0.2">
      <c r="A862" s="2"/>
      <c r="B862" s="2"/>
      <c r="C862" s="2"/>
      <c r="D862" s="2"/>
      <c r="E862" s="2"/>
      <c r="F862" s="2"/>
      <c r="G862" s="2"/>
      <c r="H862" s="2"/>
      <c r="I862" s="2"/>
      <c r="J862" s="2"/>
      <c r="K862" s="2"/>
      <c r="L862" s="2"/>
    </row>
    <row r="863" spans="1:12" ht="15.75" customHeight="1" x14ac:dyDescent="0.2">
      <c r="A863" s="2"/>
      <c r="B863" s="2"/>
      <c r="C863" s="2"/>
      <c r="D863" s="2"/>
      <c r="E863" s="2"/>
      <c r="F863" s="2"/>
      <c r="G863" s="2"/>
      <c r="H863" s="2"/>
      <c r="I863" s="2"/>
      <c r="J863" s="2"/>
      <c r="K863" s="2"/>
      <c r="L863" s="2"/>
    </row>
    <row r="864" spans="1:12" ht="15.75" customHeight="1" x14ac:dyDescent="0.2">
      <c r="A864" s="2"/>
      <c r="B864" s="2"/>
      <c r="C864" s="2"/>
      <c r="D864" s="2"/>
      <c r="E864" s="2"/>
      <c r="F864" s="2"/>
      <c r="G864" s="2"/>
      <c r="H864" s="2"/>
      <c r="I864" s="2"/>
      <c r="J864" s="2"/>
      <c r="K864" s="2"/>
      <c r="L864" s="2"/>
    </row>
    <row r="865" spans="1:12" ht="15.75" customHeight="1" x14ac:dyDescent="0.2">
      <c r="A865" s="2"/>
      <c r="B865" s="2"/>
      <c r="C865" s="2"/>
      <c r="D865" s="2"/>
      <c r="E865" s="2"/>
      <c r="F865" s="2"/>
      <c r="G865" s="2"/>
      <c r="H865" s="2"/>
      <c r="I865" s="2"/>
      <c r="J865" s="2"/>
      <c r="K865" s="2"/>
      <c r="L865" s="2"/>
    </row>
    <row r="866" spans="1:12" ht="15.75" customHeight="1" x14ac:dyDescent="0.2">
      <c r="A866" s="2"/>
      <c r="B866" s="2"/>
      <c r="C866" s="2"/>
      <c r="D866" s="2"/>
      <c r="E866" s="2"/>
      <c r="F866" s="2"/>
      <c r="G866" s="2"/>
      <c r="H866" s="2"/>
      <c r="I866" s="2"/>
      <c r="J866" s="2"/>
      <c r="K866" s="2"/>
      <c r="L866" s="2"/>
    </row>
    <row r="867" spans="1:12" ht="15.75" customHeight="1" x14ac:dyDescent="0.2">
      <c r="A867" s="2"/>
      <c r="B867" s="2"/>
      <c r="C867" s="2"/>
      <c r="D867" s="2"/>
      <c r="E867" s="2"/>
      <c r="F867" s="2"/>
      <c r="G867" s="2"/>
      <c r="H867" s="2"/>
      <c r="I867" s="2"/>
      <c r="J867" s="2"/>
      <c r="K867" s="2"/>
      <c r="L867" s="2"/>
    </row>
    <row r="868" spans="1:12" ht="15.75" customHeight="1" x14ac:dyDescent="0.2">
      <c r="A868" s="2"/>
      <c r="B868" s="2"/>
      <c r="C868" s="2"/>
      <c r="D868" s="2"/>
      <c r="E868" s="2"/>
      <c r="F868" s="2"/>
      <c r="G868" s="2"/>
      <c r="H868" s="2"/>
      <c r="I868" s="2"/>
      <c r="J868" s="2"/>
      <c r="K868" s="2"/>
      <c r="L868" s="2"/>
    </row>
    <row r="869" spans="1:12" ht="15.75" customHeight="1" x14ac:dyDescent="0.2">
      <c r="A869" s="2"/>
      <c r="B869" s="2"/>
      <c r="C869" s="2"/>
      <c r="D869" s="2"/>
      <c r="E869" s="2"/>
      <c r="F869" s="2"/>
      <c r="G869" s="2"/>
      <c r="H869" s="2"/>
      <c r="I869" s="2"/>
      <c r="J869" s="2"/>
      <c r="K869" s="2"/>
      <c r="L869" s="2"/>
    </row>
    <row r="870" spans="1:12" ht="15.75" customHeight="1" x14ac:dyDescent="0.2">
      <c r="A870" s="2"/>
      <c r="B870" s="2"/>
      <c r="C870" s="2"/>
      <c r="D870" s="2"/>
      <c r="E870" s="2"/>
      <c r="F870" s="2"/>
      <c r="G870" s="2"/>
      <c r="H870" s="2"/>
      <c r="I870" s="2"/>
      <c r="J870" s="2"/>
      <c r="K870" s="2"/>
      <c r="L870" s="2"/>
    </row>
    <row r="871" spans="1:12" ht="15.75" customHeight="1" x14ac:dyDescent="0.2">
      <c r="A871" s="2"/>
      <c r="B871" s="2"/>
      <c r="C871" s="2"/>
      <c r="D871" s="2"/>
      <c r="E871" s="2"/>
      <c r="F871" s="2"/>
      <c r="G871" s="2"/>
      <c r="H871" s="2"/>
      <c r="I871" s="2"/>
      <c r="J871" s="2"/>
      <c r="K871" s="2"/>
      <c r="L871" s="2"/>
    </row>
    <row r="872" spans="1:12" ht="15.75" customHeight="1" x14ac:dyDescent="0.2">
      <c r="A872" s="2"/>
      <c r="B872" s="2"/>
      <c r="C872" s="2"/>
      <c r="D872" s="2"/>
      <c r="E872" s="2"/>
      <c r="F872" s="2"/>
      <c r="G872" s="2"/>
      <c r="H872" s="2"/>
      <c r="I872" s="2"/>
      <c r="J872" s="2"/>
      <c r="K872" s="2"/>
      <c r="L872" s="2"/>
    </row>
    <row r="873" spans="1:12" ht="15.75" customHeight="1" x14ac:dyDescent="0.2">
      <c r="A873" s="2"/>
      <c r="B873" s="2"/>
      <c r="C873" s="2"/>
      <c r="D873" s="2"/>
      <c r="E873" s="2"/>
      <c r="F873" s="2"/>
      <c r="G873" s="2"/>
      <c r="H873" s="2"/>
      <c r="I873" s="2"/>
      <c r="J873" s="2"/>
      <c r="K873" s="2"/>
      <c r="L873" s="2"/>
    </row>
    <row r="874" spans="1:12" ht="15.75" customHeight="1" x14ac:dyDescent="0.2">
      <c r="A874" s="2"/>
      <c r="B874" s="2"/>
      <c r="C874" s="2"/>
      <c r="D874" s="2"/>
      <c r="E874" s="2"/>
      <c r="F874" s="2"/>
      <c r="G874" s="2"/>
      <c r="H874" s="2"/>
      <c r="I874" s="2"/>
      <c r="J874" s="2"/>
      <c r="K874" s="2"/>
      <c r="L874" s="2"/>
    </row>
    <row r="875" spans="1:12" ht="15.75" customHeight="1" x14ac:dyDescent="0.2">
      <c r="A875" s="2"/>
      <c r="B875" s="2"/>
      <c r="C875" s="2"/>
      <c r="D875" s="2"/>
      <c r="E875" s="2"/>
      <c r="F875" s="2"/>
      <c r="G875" s="2"/>
      <c r="H875" s="2"/>
      <c r="I875" s="2"/>
      <c r="J875" s="2"/>
      <c r="K875" s="2"/>
      <c r="L875" s="2"/>
    </row>
    <row r="876" spans="1:12" ht="15.75" customHeight="1" x14ac:dyDescent="0.2">
      <c r="A876" s="2"/>
      <c r="B876" s="2"/>
      <c r="C876" s="2"/>
      <c r="D876" s="2"/>
      <c r="E876" s="2"/>
      <c r="F876" s="2"/>
      <c r="G876" s="2"/>
      <c r="H876" s="2"/>
      <c r="I876" s="2"/>
      <c r="J876" s="2"/>
      <c r="K876" s="2"/>
      <c r="L876" s="2"/>
    </row>
    <row r="877" spans="1:12" ht="15.75" customHeight="1" x14ac:dyDescent="0.2">
      <c r="A877" s="2"/>
      <c r="B877" s="2"/>
      <c r="C877" s="2"/>
      <c r="D877" s="2"/>
      <c r="E877" s="2"/>
      <c r="F877" s="2"/>
      <c r="G877" s="2"/>
      <c r="H877" s="2"/>
      <c r="I877" s="2"/>
      <c r="J877" s="2"/>
      <c r="K877" s="2"/>
      <c r="L877" s="2"/>
    </row>
    <row r="878" spans="1:12" ht="15.75" customHeight="1" x14ac:dyDescent="0.2">
      <c r="A878" s="2"/>
      <c r="B878" s="2"/>
      <c r="C878" s="2"/>
      <c r="D878" s="2"/>
      <c r="E878" s="2"/>
      <c r="F878" s="2"/>
      <c r="G878" s="2"/>
      <c r="H878" s="2"/>
      <c r="I878" s="2"/>
      <c r="J878" s="2"/>
      <c r="K878" s="2"/>
      <c r="L878" s="2"/>
    </row>
    <row r="879" spans="1:12" ht="15.75" customHeight="1" x14ac:dyDescent="0.2">
      <c r="A879" s="2"/>
      <c r="B879" s="2"/>
      <c r="C879" s="2"/>
      <c r="D879" s="2"/>
      <c r="E879" s="2"/>
      <c r="F879" s="2"/>
      <c r="G879" s="2"/>
      <c r="H879" s="2"/>
      <c r="I879" s="2"/>
      <c r="J879" s="2"/>
      <c r="K879" s="2"/>
      <c r="L879" s="2"/>
    </row>
    <row r="880" spans="1:12" ht="15.75" customHeight="1" x14ac:dyDescent="0.2">
      <c r="A880" s="2"/>
      <c r="B880" s="2"/>
      <c r="C880" s="2"/>
      <c r="D880" s="2"/>
      <c r="E880" s="2"/>
      <c r="F880" s="2"/>
      <c r="G880" s="2"/>
      <c r="H880" s="2"/>
      <c r="I880" s="2"/>
      <c r="J880" s="2"/>
      <c r="K880" s="2"/>
      <c r="L880" s="2"/>
    </row>
    <row r="881" spans="1:12" ht="15.75" customHeight="1" x14ac:dyDescent="0.2">
      <c r="A881" s="2"/>
      <c r="B881" s="2"/>
      <c r="C881" s="2"/>
      <c r="D881" s="2"/>
      <c r="E881" s="2"/>
      <c r="F881" s="2"/>
      <c r="G881" s="2"/>
      <c r="H881" s="2"/>
      <c r="I881" s="2"/>
      <c r="J881" s="2"/>
      <c r="K881" s="2"/>
      <c r="L881" s="2"/>
    </row>
    <row r="882" spans="1:12" ht="15.75" customHeight="1" x14ac:dyDescent="0.2">
      <c r="A882" s="2"/>
      <c r="B882" s="2"/>
      <c r="C882" s="2"/>
      <c r="D882" s="2"/>
      <c r="E882" s="2"/>
      <c r="F882" s="2"/>
      <c r="G882" s="2"/>
      <c r="H882" s="2"/>
      <c r="I882" s="2"/>
      <c r="J882" s="2"/>
      <c r="K882" s="2"/>
      <c r="L882" s="2"/>
    </row>
    <row r="883" spans="1:12" ht="15.75" customHeight="1" x14ac:dyDescent="0.2">
      <c r="A883" s="2"/>
      <c r="B883" s="2"/>
      <c r="C883" s="2"/>
      <c r="D883" s="2"/>
      <c r="E883" s="2"/>
      <c r="F883" s="2"/>
      <c r="G883" s="2"/>
      <c r="H883" s="2"/>
      <c r="I883" s="2"/>
      <c r="J883" s="2"/>
      <c r="K883" s="2"/>
      <c r="L883" s="2"/>
    </row>
    <row r="884" spans="1:12" ht="15.75" customHeight="1" x14ac:dyDescent="0.2">
      <c r="A884" s="2"/>
      <c r="B884" s="2"/>
      <c r="C884" s="2"/>
      <c r="D884" s="2"/>
      <c r="E884" s="2"/>
      <c r="F884" s="2"/>
      <c r="G884" s="2"/>
      <c r="H884" s="2"/>
      <c r="I884" s="2"/>
      <c r="J884" s="2"/>
      <c r="K884" s="2"/>
      <c r="L884" s="2"/>
    </row>
    <row r="885" spans="1:12" ht="15.75" customHeight="1" x14ac:dyDescent="0.2">
      <c r="A885" s="2"/>
      <c r="B885" s="2"/>
      <c r="C885" s="2"/>
      <c r="D885" s="2"/>
      <c r="E885" s="2"/>
      <c r="F885" s="2"/>
      <c r="G885" s="2"/>
      <c r="H885" s="2"/>
      <c r="I885" s="2"/>
      <c r="J885" s="2"/>
      <c r="K885" s="2"/>
      <c r="L885" s="2"/>
    </row>
    <row r="886" spans="1:12" ht="15.75" customHeight="1" x14ac:dyDescent="0.2">
      <c r="A886" s="2"/>
      <c r="B886" s="2"/>
      <c r="C886" s="2"/>
      <c r="D886" s="2"/>
      <c r="E886" s="2"/>
      <c r="F886" s="2"/>
      <c r="G886" s="2"/>
      <c r="H886" s="2"/>
      <c r="I886" s="2"/>
      <c r="J886" s="2"/>
      <c r="K886" s="2"/>
      <c r="L886" s="2"/>
    </row>
    <row r="887" spans="1:12" ht="15.75" customHeight="1" x14ac:dyDescent="0.2">
      <c r="A887" s="2"/>
      <c r="B887" s="2"/>
      <c r="C887" s="2"/>
      <c r="D887" s="2"/>
      <c r="E887" s="2"/>
      <c r="F887" s="2"/>
      <c r="G887" s="2"/>
      <c r="H887" s="2"/>
      <c r="I887" s="2"/>
      <c r="J887" s="2"/>
      <c r="K887" s="2"/>
      <c r="L887" s="2"/>
    </row>
    <row r="888" spans="1:12" ht="15.75" customHeight="1" x14ac:dyDescent="0.2">
      <c r="A888" s="2"/>
      <c r="B888" s="2"/>
      <c r="C888" s="2"/>
      <c r="D888" s="2"/>
      <c r="E888" s="2"/>
      <c r="F888" s="2"/>
      <c r="G888" s="2"/>
      <c r="H888" s="2"/>
      <c r="I888" s="2"/>
      <c r="J888" s="2"/>
      <c r="K888" s="2"/>
      <c r="L888" s="2"/>
    </row>
    <row r="889" spans="1:12" ht="15.75" customHeight="1" x14ac:dyDescent="0.2">
      <c r="A889" s="2"/>
      <c r="B889" s="2"/>
      <c r="C889" s="2"/>
      <c r="D889" s="2"/>
      <c r="E889" s="2"/>
      <c r="F889" s="2"/>
      <c r="G889" s="2"/>
      <c r="H889" s="2"/>
      <c r="I889" s="2"/>
      <c r="J889" s="2"/>
      <c r="K889" s="2"/>
      <c r="L889" s="2"/>
    </row>
    <row r="890" spans="1:12" ht="15.75" customHeight="1" x14ac:dyDescent="0.2">
      <c r="A890" s="2"/>
      <c r="B890" s="2"/>
      <c r="C890" s="2"/>
      <c r="D890" s="2"/>
      <c r="E890" s="2"/>
      <c r="F890" s="2"/>
      <c r="G890" s="2"/>
      <c r="H890" s="2"/>
      <c r="I890" s="2"/>
      <c r="J890" s="2"/>
      <c r="K890" s="2"/>
      <c r="L890" s="2"/>
    </row>
    <row r="891" spans="1:12" ht="15.75" customHeight="1" x14ac:dyDescent="0.2">
      <c r="A891" s="2"/>
      <c r="B891" s="2"/>
      <c r="C891" s="2"/>
      <c r="D891" s="2"/>
      <c r="E891" s="2"/>
      <c r="F891" s="2"/>
      <c r="G891" s="2"/>
      <c r="H891" s="2"/>
      <c r="I891" s="2"/>
      <c r="J891" s="2"/>
      <c r="K891" s="2"/>
      <c r="L891" s="2"/>
    </row>
    <row r="892" spans="1:12" ht="15.75" customHeight="1" x14ac:dyDescent="0.2">
      <c r="A892" s="2"/>
      <c r="B892" s="2"/>
      <c r="C892" s="2"/>
      <c r="D892" s="2"/>
      <c r="E892" s="2"/>
      <c r="F892" s="2"/>
      <c r="G892" s="2"/>
      <c r="H892" s="2"/>
      <c r="I892" s="2"/>
      <c r="J892" s="2"/>
      <c r="K892" s="2"/>
      <c r="L892" s="2"/>
    </row>
    <row r="893" spans="1:12" ht="15.75" customHeight="1" x14ac:dyDescent="0.2">
      <c r="A893" s="2"/>
      <c r="B893" s="2"/>
      <c r="C893" s="2"/>
      <c r="D893" s="2"/>
      <c r="E893" s="2"/>
      <c r="F893" s="2"/>
      <c r="G893" s="2"/>
      <c r="H893" s="2"/>
      <c r="I893" s="2"/>
      <c r="J893" s="2"/>
      <c r="K893" s="2"/>
      <c r="L893" s="2"/>
    </row>
    <row r="894" spans="1:12" ht="15.75" customHeight="1" x14ac:dyDescent="0.2">
      <c r="A894" s="2"/>
      <c r="B894" s="2"/>
      <c r="C894" s="2"/>
      <c r="D894" s="2"/>
      <c r="E894" s="2"/>
      <c r="F894" s="2"/>
      <c r="G894" s="2"/>
      <c r="H894" s="2"/>
      <c r="I894" s="2"/>
      <c r="J894" s="2"/>
      <c r="K894" s="2"/>
      <c r="L894" s="2"/>
    </row>
    <row r="895" spans="1:12" ht="15.75" customHeight="1" x14ac:dyDescent="0.2">
      <c r="A895" s="2"/>
      <c r="B895" s="2"/>
      <c r="C895" s="2"/>
      <c r="D895" s="2"/>
      <c r="E895" s="2"/>
      <c r="F895" s="2"/>
      <c r="G895" s="2"/>
      <c r="H895" s="2"/>
      <c r="I895" s="2"/>
      <c r="J895" s="2"/>
      <c r="K895" s="2"/>
      <c r="L895" s="2"/>
    </row>
    <row r="896" spans="1:12" ht="15.75" customHeight="1" x14ac:dyDescent="0.2">
      <c r="A896" s="2"/>
      <c r="B896" s="2"/>
      <c r="C896" s="2"/>
      <c r="D896" s="2"/>
      <c r="E896" s="2"/>
      <c r="F896" s="2"/>
      <c r="G896" s="2"/>
      <c r="H896" s="2"/>
      <c r="I896" s="2"/>
      <c r="J896" s="2"/>
      <c r="K896" s="2"/>
      <c r="L896" s="2"/>
    </row>
    <row r="897" spans="1:12" ht="15.75" customHeight="1" x14ac:dyDescent="0.2">
      <c r="A897" s="2"/>
      <c r="B897" s="2"/>
      <c r="C897" s="2"/>
      <c r="D897" s="2"/>
      <c r="E897" s="2"/>
      <c r="F897" s="2"/>
      <c r="G897" s="2"/>
      <c r="H897" s="2"/>
      <c r="I897" s="2"/>
      <c r="J897" s="2"/>
      <c r="K897" s="2"/>
      <c r="L897" s="2"/>
    </row>
    <row r="898" spans="1:12" ht="15.75" customHeight="1" x14ac:dyDescent="0.2">
      <c r="A898" s="2"/>
      <c r="B898" s="2"/>
      <c r="C898" s="2"/>
      <c r="D898" s="2"/>
      <c r="E898" s="2"/>
      <c r="F898" s="2"/>
      <c r="G898" s="2"/>
      <c r="H898" s="2"/>
      <c r="I898" s="2"/>
      <c r="J898" s="2"/>
      <c r="K898" s="2"/>
      <c r="L898" s="2"/>
    </row>
    <row r="899" spans="1:12" ht="15.75" customHeight="1" x14ac:dyDescent="0.2">
      <c r="A899" s="2"/>
      <c r="B899" s="2"/>
      <c r="C899" s="2"/>
      <c r="D899" s="2"/>
      <c r="E899" s="2"/>
      <c r="F899" s="2"/>
      <c r="G899" s="2"/>
      <c r="H899" s="2"/>
      <c r="I899" s="2"/>
      <c r="J899" s="2"/>
      <c r="K899" s="2"/>
      <c r="L899" s="2"/>
    </row>
    <row r="900" spans="1:12" ht="15.75" customHeight="1" x14ac:dyDescent="0.2">
      <c r="A900" s="2"/>
      <c r="B900" s="2"/>
      <c r="C900" s="2"/>
      <c r="D900" s="2"/>
      <c r="E900" s="2"/>
      <c r="F900" s="2"/>
      <c r="G900" s="2"/>
      <c r="H900" s="2"/>
      <c r="I900" s="2"/>
      <c r="J900" s="2"/>
      <c r="K900" s="2"/>
      <c r="L900" s="2"/>
    </row>
    <row r="901" spans="1:12" ht="15.75" customHeight="1" x14ac:dyDescent="0.2">
      <c r="A901" s="2"/>
      <c r="B901" s="2"/>
      <c r="C901" s="2"/>
      <c r="D901" s="2"/>
      <c r="E901" s="2"/>
      <c r="F901" s="2"/>
      <c r="G901" s="2"/>
      <c r="H901" s="2"/>
      <c r="I901" s="2"/>
      <c r="J901" s="2"/>
      <c r="K901" s="2"/>
      <c r="L901" s="2"/>
    </row>
    <row r="902" spans="1:12" ht="15.75" customHeight="1" x14ac:dyDescent="0.2">
      <c r="A902" s="2"/>
      <c r="B902" s="2"/>
      <c r="C902" s="2"/>
      <c r="D902" s="2"/>
      <c r="E902" s="2"/>
      <c r="F902" s="2"/>
      <c r="G902" s="2"/>
      <c r="H902" s="2"/>
      <c r="I902" s="2"/>
      <c r="J902" s="2"/>
      <c r="K902" s="2"/>
      <c r="L902" s="2"/>
    </row>
    <row r="903" spans="1:12" ht="15.75" customHeight="1" x14ac:dyDescent="0.2">
      <c r="A903" s="2"/>
      <c r="B903" s="2"/>
      <c r="C903" s="2"/>
      <c r="D903" s="2"/>
      <c r="E903" s="2"/>
      <c r="F903" s="2"/>
      <c r="G903" s="2"/>
      <c r="H903" s="2"/>
      <c r="I903" s="2"/>
      <c r="J903" s="2"/>
      <c r="K903" s="2"/>
      <c r="L903" s="2"/>
    </row>
    <row r="904" spans="1:12" ht="15.75" customHeight="1" x14ac:dyDescent="0.2">
      <c r="A904" s="2"/>
      <c r="B904" s="2"/>
      <c r="C904" s="2"/>
      <c r="D904" s="2"/>
      <c r="E904" s="2"/>
      <c r="F904" s="2"/>
      <c r="G904" s="2"/>
      <c r="H904" s="2"/>
      <c r="I904" s="2"/>
      <c r="J904" s="2"/>
      <c r="K904" s="2"/>
      <c r="L904" s="2"/>
    </row>
    <row r="905" spans="1:12" ht="15.75" customHeight="1" x14ac:dyDescent="0.2">
      <c r="A905" s="2"/>
      <c r="B905" s="2"/>
      <c r="C905" s="2"/>
      <c r="D905" s="2"/>
      <c r="E905" s="2"/>
      <c r="F905" s="2"/>
      <c r="G905" s="2"/>
      <c r="H905" s="2"/>
      <c r="I905" s="2"/>
      <c r="J905" s="2"/>
      <c r="K905" s="2"/>
      <c r="L905" s="2"/>
    </row>
    <row r="906" spans="1:12" ht="15.75" customHeight="1" x14ac:dyDescent="0.2">
      <c r="A906" s="2"/>
      <c r="B906" s="2"/>
      <c r="C906" s="2"/>
      <c r="D906" s="2"/>
      <c r="E906" s="2"/>
      <c r="F906" s="2"/>
      <c r="G906" s="2"/>
      <c r="H906" s="2"/>
      <c r="I906" s="2"/>
      <c r="J906" s="2"/>
      <c r="K906" s="2"/>
      <c r="L906" s="2"/>
    </row>
    <row r="907" spans="1:12" ht="15.75" customHeight="1" x14ac:dyDescent="0.2">
      <c r="A907" s="2"/>
      <c r="B907" s="2"/>
      <c r="C907" s="2"/>
      <c r="D907" s="2"/>
      <c r="E907" s="2"/>
      <c r="F907" s="2"/>
      <c r="G907" s="2"/>
      <c r="H907" s="2"/>
      <c r="I907" s="2"/>
      <c r="J907" s="2"/>
      <c r="K907" s="2"/>
      <c r="L907" s="2"/>
    </row>
    <row r="908" spans="1:12" ht="15.75" customHeight="1" x14ac:dyDescent="0.2">
      <c r="A908" s="2"/>
      <c r="B908" s="2"/>
      <c r="C908" s="2"/>
      <c r="D908" s="2"/>
      <c r="E908" s="2"/>
      <c r="F908" s="2"/>
      <c r="G908" s="2"/>
      <c r="H908" s="2"/>
      <c r="I908" s="2"/>
      <c r="J908" s="2"/>
      <c r="K908" s="2"/>
      <c r="L908" s="2"/>
    </row>
    <row r="909" spans="1:12" ht="15.75" customHeight="1" x14ac:dyDescent="0.2">
      <c r="A909" s="2"/>
      <c r="B909" s="2"/>
      <c r="C909" s="2"/>
      <c r="D909" s="2"/>
      <c r="E909" s="2"/>
      <c r="F909" s="2"/>
      <c r="G909" s="2"/>
      <c r="H909" s="2"/>
      <c r="I909" s="2"/>
      <c r="J909" s="2"/>
      <c r="K909" s="2"/>
      <c r="L909" s="2"/>
    </row>
    <row r="910" spans="1:12" ht="15.75" customHeight="1" x14ac:dyDescent="0.2">
      <c r="A910" s="2"/>
      <c r="B910" s="2"/>
      <c r="C910" s="2"/>
      <c r="D910" s="2"/>
      <c r="E910" s="2"/>
      <c r="F910" s="2"/>
      <c r="G910" s="2"/>
      <c r="H910" s="2"/>
      <c r="I910" s="2"/>
      <c r="J910" s="2"/>
      <c r="K910" s="2"/>
      <c r="L910" s="2"/>
    </row>
    <row r="911" spans="1:12" ht="15.75" customHeight="1" x14ac:dyDescent="0.2">
      <c r="A911" s="2"/>
      <c r="B911" s="2"/>
      <c r="C911" s="2"/>
      <c r="D911" s="2"/>
      <c r="E911" s="2"/>
      <c r="F911" s="2"/>
      <c r="G911" s="2"/>
      <c r="H911" s="2"/>
      <c r="I911" s="2"/>
      <c r="J911" s="2"/>
      <c r="K911" s="2"/>
      <c r="L911" s="2"/>
    </row>
    <row r="912" spans="1:12" ht="15.75" customHeight="1" x14ac:dyDescent="0.2">
      <c r="A912" s="2"/>
      <c r="B912" s="2"/>
      <c r="C912" s="2"/>
      <c r="D912" s="2"/>
      <c r="E912" s="2"/>
      <c r="F912" s="2"/>
      <c r="G912" s="2"/>
      <c r="H912" s="2"/>
      <c r="I912" s="2"/>
      <c r="J912" s="2"/>
      <c r="K912" s="2"/>
      <c r="L912" s="2"/>
    </row>
    <row r="913" spans="1:12" ht="15.75" customHeight="1" x14ac:dyDescent="0.2">
      <c r="A913" s="2"/>
      <c r="B913" s="2"/>
      <c r="C913" s="2"/>
      <c r="D913" s="2"/>
      <c r="E913" s="2"/>
      <c r="F913" s="2"/>
      <c r="G913" s="2"/>
      <c r="H913" s="2"/>
      <c r="I913" s="2"/>
      <c r="J913" s="2"/>
      <c r="K913" s="2"/>
      <c r="L913" s="2"/>
    </row>
    <row r="914" spans="1:12" ht="15.75" customHeight="1" x14ac:dyDescent="0.2">
      <c r="A914" s="2"/>
      <c r="B914" s="2"/>
      <c r="C914" s="2"/>
      <c r="D914" s="2"/>
      <c r="E914" s="2"/>
      <c r="F914" s="2"/>
      <c r="G914" s="2"/>
      <c r="H914" s="2"/>
      <c r="I914" s="2"/>
      <c r="J914" s="2"/>
      <c r="K914" s="2"/>
      <c r="L914" s="2"/>
    </row>
    <row r="915" spans="1:12" ht="15.75" customHeight="1" x14ac:dyDescent="0.2">
      <c r="A915" s="2"/>
      <c r="B915" s="2"/>
      <c r="C915" s="2"/>
      <c r="D915" s="2"/>
      <c r="E915" s="2"/>
      <c r="F915" s="2"/>
      <c r="G915" s="2"/>
      <c r="H915" s="2"/>
      <c r="I915" s="2"/>
      <c r="J915" s="2"/>
      <c r="K915" s="2"/>
      <c r="L915" s="2"/>
    </row>
    <row r="916" spans="1:12" ht="15.75" customHeight="1" x14ac:dyDescent="0.2">
      <c r="A916" s="2"/>
      <c r="B916" s="2"/>
      <c r="C916" s="2"/>
      <c r="D916" s="2"/>
      <c r="E916" s="2"/>
      <c r="F916" s="2"/>
      <c r="G916" s="2"/>
      <c r="H916" s="2"/>
      <c r="I916" s="2"/>
      <c r="J916" s="2"/>
      <c r="K916" s="2"/>
      <c r="L916" s="2"/>
    </row>
    <row r="917" spans="1:12" ht="15.75" customHeight="1" x14ac:dyDescent="0.2">
      <c r="A917" s="2"/>
      <c r="B917" s="2"/>
      <c r="C917" s="2"/>
      <c r="D917" s="2"/>
      <c r="E917" s="2"/>
      <c r="F917" s="2"/>
      <c r="G917" s="2"/>
      <c r="H917" s="2"/>
      <c r="I917" s="2"/>
      <c r="J917" s="2"/>
      <c r="K917" s="2"/>
      <c r="L917" s="2"/>
    </row>
    <row r="918" spans="1:12" ht="15.75" customHeight="1" x14ac:dyDescent="0.2">
      <c r="A918" s="2"/>
      <c r="B918" s="2"/>
      <c r="C918" s="2"/>
      <c r="D918" s="2"/>
      <c r="E918" s="2"/>
      <c r="F918" s="2"/>
      <c r="G918" s="2"/>
      <c r="H918" s="2"/>
      <c r="I918" s="2"/>
      <c r="J918" s="2"/>
      <c r="K918" s="2"/>
      <c r="L918" s="2"/>
    </row>
    <row r="919" spans="1:12" ht="15.75" customHeight="1" x14ac:dyDescent="0.2">
      <c r="A919" s="2"/>
      <c r="B919" s="2"/>
      <c r="C919" s="2"/>
      <c r="D919" s="2"/>
      <c r="E919" s="2"/>
      <c r="F919" s="2"/>
      <c r="G919" s="2"/>
      <c r="H919" s="2"/>
      <c r="I919" s="2"/>
      <c r="J919" s="2"/>
      <c r="K919" s="2"/>
      <c r="L919" s="2"/>
    </row>
    <row r="920" spans="1:12" ht="15.75" customHeight="1" x14ac:dyDescent="0.2">
      <c r="A920" s="2"/>
      <c r="B920" s="2"/>
      <c r="C920" s="2"/>
      <c r="D920" s="2"/>
      <c r="E920" s="2"/>
      <c r="F920" s="2"/>
      <c r="G920" s="2"/>
      <c r="H920" s="2"/>
      <c r="I920" s="2"/>
      <c r="J920" s="2"/>
      <c r="K920" s="2"/>
      <c r="L920" s="2"/>
    </row>
    <row r="921" spans="1:12" ht="15.75" customHeight="1" x14ac:dyDescent="0.2">
      <c r="A921" s="2"/>
      <c r="B921" s="2"/>
      <c r="C921" s="2"/>
      <c r="D921" s="2"/>
      <c r="E921" s="2"/>
      <c r="F921" s="2"/>
      <c r="G921" s="2"/>
      <c r="H921" s="2"/>
      <c r="I921" s="2"/>
      <c r="J921" s="2"/>
      <c r="K921" s="2"/>
      <c r="L921" s="2"/>
    </row>
    <row r="922" spans="1:12" ht="15.75" customHeight="1" x14ac:dyDescent="0.2">
      <c r="A922" s="2"/>
      <c r="B922" s="2"/>
      <c r="C922" s="2"/>
      <c r="D922" s="2"/>
      <c r="E922" s="2"/>
      <c r="F922" s="2"/>
      <c r="G922" s="2"/>
      <c r="H922" s="2"/>
      <c r="I922" s="2"/>
      <c r="J922" s="2"/>
      <c r="K922" s="2"/>
      <c r="L922" s="2"/>
    </row>
    <row r="923" spans="1:12" ht="15.75" customHeight="1" x14ac:dyDescent="0.2">
      <c r="A923" s="2"/>
      <c r="B923" s="2"/>
      <c r="C923" s="2"/>
      <c r="D923" s="2"/>
      <c r="E923" s="2"/>
      <c r="F923" s="2"/>
      <c r="G923" s="2"/>
      <c r="H923" s="2"/>
      <c r="I923" s="2"/>
      <c r="J923" s="2"/>
      <c r="K923" s="2"/>
      <c r="L923" s="2"/>
    </row>
    <row r="924" spans="1:12" ht="15.75" customHeight="1" x14ac:dyDescent="0.2">
      <c r="A924" s="2"/>
      <c r="B924" s="2"/>
      <c r="C924" s="2"/>
      <c r="D924" s="2"/>
      <c r="E924" s="2"/>
      <c r="F924" s="2"/>
      <c r="G924" s="2"/>
      <c r="H924" s="2"/>
      <c r="I924" s="2"/>
      <c r="J924" s="2"/>
      <c r="K924" s="2"/>
      <c r="L924" s="2"/>
    </row>
    <row r="925" spans="1:12" ht="15.75" customHeight="1" x14ac:dyDescent="0.2">
      <c r="A925" s="2"/>
      <c r="B925" s="2"/>
      <c r="C925" s="2"/>
      <c r="D925" s="2"/>
      <c r="E925" s="2"/>
      <c r="F925" s="2"/>
      <c r="G925" s="2"/>
      <c r="H925" s="2"/>
      <c r="I925" s="2"/>
      <c r="J925" s="2"/>
      <c r="K925" s="2"/>
      <c r="L925" s="2"/>
    </row>
    <row r="926" spans="1:12" ht="15.75" customHeight="1" x14ac:dyDescent="0.2">
      <c r="A926" s="2"/>
      <c r="B926" s="2"/>
      <c r="C926" s="2"/>
      <c r="D926" s="2"/>
      <c r="E926" s="2"/>
      <c r="F926" s="2"/>
      <c r="G926" s="2"/>
      <c r="H926" s="2"/>
      <c r="I926" s="2"/>
      <c r="J926" s="2"/>
      <c r="K926" s="2"/>
      <c r="L926" s="2"/>
    </row>
    <row r="927" spans="1:12" ht="15.75" customHeight="1" x14ac:dyDescent="0.2">
      <c r="A927" s="2"/>
      <c r="B927" s="2"/>
      <c r="C927" s="2"/>
      <c r="D927" s="2"/>
      <c r="E927" s="2"/>
      <c r="F927" s="2"/>
      <c r="G927" s="2"/>
      <c r="H927" s="2"/>
      <c r="I927" s="2"/>
      <c r="J927" s="2"/>
      <c r="K927" s="2"/>
      <c r="L927" s="2"/>
    </row>
    <row r="928" spans="1:12" ht="15.75" customHeight="1" x14ac:dyDescent="0.2">
      <c r="A928" s="2"/>
      <c r="B928" s="2"/>
      <c r="C928" s="2"/>
      <c r="D928" s="2"/>
      <c r="E928" s="2"/>
      <c r="F928" s="2"/>
      <c r="G928" s="2"/>
      <c r="H928" s="2"/>
      <c r="I928" s="2"/>
      <c r="J928" s="2"/>
      <c r="K928" s="2"/>
      <c r="L928" s="2"/>
    </row>
    <row r="929" spans="1:12" ht="15.75" customHeight="1" x14ac:dyDescent="0.2">
      <c r="A929" s="2"/>
      <c r="B929" s="2"/>
      <c r="C929" s="2"/>
      <c r="D929" s="2"/>
      <c r="E929" s="2"/>
      <c r="F929" s="2"/>
      <c r="G929" s="2"/>
      <c r="H929" s="2"/>
      <c r="I929" s="2"/>
      <c r="J929" s="2"/>
      <c r="K929" s="2"/>
      <c r="L929" s="2"/>
    </row>
    <row r="930" spans="1:12" ht="15.75" customHeight="1" x14ac:dyDescent="0.2">
      <c r="A930" s="2"/>
      <c r="B930" s="2"/>
      <c r="C930" s="2"/>
      <c r="D930" s="2"/>
      <c r="E930" s="2"/>
      <c r="F930" s="2"/>
      <c r="G930" s="2"/>
      <c r="H930" s="2"/>
      <c r="I930" s="2"/>
      <c r="J930" s="2"/>
      <c r="K930" s="2"/>
      <c r="L930" s="2"/>
    </row>
    <row r="931" spans="1:12" ht="15.75" customHeight="1" x14ac:dyDescent="0.2">
      <c r="A931" s="2"/>
      <c r="B931" s="2"/>
      <c r="C931" s="2"/>
      <c r="D931" s="2"/>
      <c r="E931" s="2"/>
      <c r="F931" s="2"/>
      <c r="G931" s="2"/>
      <c r="H931" s="2"/>
      <c r="I931" s="2"/>
      <c r="J931" s="2"/>
      <c r="K931" s="2"/>
      <c r="L931" s="2"/>
    </row>
    <row r="932" spans="1:12" ht="15.75" customHeight="1" x14ac:dyDescent="0.2">
      <c r="A932" s="2"/>
      <c r="B932" s="2"/>
      <c r="C932" s="2"/>
      <c r="D932" s="2"/>
      <c r="E932" s="2"/>
      <c r="F932" s="2"/>
      <c r="G932" s="2"/>
      <c r="H932" s="2"/>
      <c r="I932" s="2"/>
      <c r="J932" s="2"/>
      <c r="K932" s="2"/>
      <c r="L932" s="2"/>
    </row>
    <row r="933" spans="1:12" ht="15.75" customHeight="1" x14ac:dyDescent="0.2">
      <c r="A933" s="2"/>
      <c r="B933" s="2"/>
      <c r="C933" s="2"/>
      <c r="D933" s="2"/>
      <c r="E933" s="2"/>
      <c r="F933" s="2"/>
      <c r="G933" s="2"/>
      <c r="H933" s="2"/>
      <c r="I933" s="2"/>
      <c r="J933" s="2"/>
      <c r="K933" s="2"/>
      <c r="L933" s="2"/>
    </row>
    <row r="934" spans="1:12" ht="15.75" customHeight="1" x14ac:dyDescent="0.2">
      <c r="A934" s="2"/>
      <c r="B934" s="2"/>
      <c r="C934" s="2"/>
      <c r="D934" s="2"/>
      <c r="E934" s="2"/>
      <c r="F934" s="2"/>
      <c r="G934" s="2"/>
      <c r="H934" s="2"/>
      <c r="I934" s="2"/>
      <c r="J934" s="2"/>
      <c r="K934" s="2"/>
      <c r="L934" s="2"/>
    </row>
    <row r="935" spans="1:12" ht="15.75" customHeight="1" x14ac:dyDescent="0.2">
      <c r="A935" s="2"/>
      <c r="B935" s="2"/>
      <c r="C935" s="2"/>
      <c r="D935" s="2"/>
      <c r="E935" s="2"/>
      <c r="F935" s="2"/>
      <c r="G935" s="2"/>
      <c r="H935" s="2"/>
      <c r="I935" s="2"/>
      <c r="J935" s="2"/>
      <c r="K935" s="2"/>
      <c r="L935" s="2"/>
    </row>
    <row r="936" spans="1:12" ht="15.75" customHeight="1" x14ac:dyDescent="0.2">
      <c r="A936" s="2"/>
      <c r="B936" s="2"/>
      <c r="C936" s="2"/>
      <c r="D936" s="2"/>
      <c r="E936" s="2"/>
      <c r="F936" s="2"/>
      <c r="G936" s="2"/>
      <c r="H936" s="2"/>
      <c r="I936" s="2"/>
      <c r="J936" s="2"/>
      <c r="K936" s="2"/>
      <c r="L936" s="2"/>
    </row>
    <row r="937" spans="1:12" ht="15.75" customHeight="1" x14ac:dyDescent="0.2">
      <c r="A937" s="2"/>
      <c r="B937" s="2"/>
      <c r="C937" s="2"/>
      <c r="D937" s="2"/>
      <c r="E937" s="2"/>
      <c r="F937" s="2"/>
      <c r="G937" s="2"/>
      <c r="H937" s="2"/>
      <c r="I937" s="2"/>
      <c r="J937" s="2"/>
      <c r="K937" s="2"/>
      <c r="L937" s="2"/>
    </row>
    <row r="938" spans="1:12" ht="15.75" customHeight="1" x14ac:dyDescent="0.2">
      <c r="A938" s="2"/>
      <c r="B938" s="2"/>
      <c r="C938" s="2"/>
      <c r="D938" s="2"/>
      <c r="E938" s="2"/>
      <c r="F938" s="2"/>
      <c r="G938" s="2"/>
      <c r="H938" s="2"/>
      <c r="I938" s="2"/>
      <c r="J938" s="2"/>
      <c r="K938" s="2"/>
      <c r="L938" s="2"/>
    </row>
    <row r="939" spans="1:12" ht="15.75" customHeight="1" x14ac:dyDescent="0.2">
      <c r="A939" s="2"/>
      <c r="B939" s="2"/>
      <c r="C939" s="2"/>
      <c r="D939" s="2"/>
      <c r="E939" s="2"/>
      <c r="F939" s="2"/>
      <c r="G939" s="2"/>
      <c r="H939" s="2"/>
      <c r="I939" s="2"/>
      <c r="J939" s="2"/>
      <c r="K939" s="2"/>
      <c r="L939" s="2"/>
    </row>
    <row r="940" spans="1:12" ht="15.75" customHeight="1" x14ac:dyDescent="0.2">
      <c r="A940" s="2"/>
      <c r="B940" s="2"/>
      <c r="C940" s="2"/>
      <c r="D940" s="2"/>
      <c r="E940" s="2"/>
      <c r="F940" s="2"/>
      <c r="G940" s="2"/>
      <c r="H940" s="2"/>
      <c r="I940" s="2"/>
      <c r="J940" s="2"/>
      <c r="K940" s="2"/>
      <c r="L940" s="2"/>
    </row>
    <row r="941" spans="1:12" ht="15.75" customHeight="1" x14ac:dyDescent="0.2">
      <c r="A941" s="2"/>
      <c r="B941" s="2"/>
      <c r="C941" s="2"/>
      <c r="D941" s="2"/>
      <c r="E941" s="2"/>
      <c r="F941" s="2"/>
      <c r="G941" s="2"/>
      <c r="H941" s="2"/>
      <c r="I941" s="2"/>
      <c r="J941" s="2"/>
      <c r="K941" s="2"/>
      <c r="L941" s="2"/>
    </row>
    <row r="942" spans="1:12" ht="15.75" customHeight="1" x14ac:dyDescent="0.2">
      <c r="A942" s="2"/>
      <c r="B942" s="2"/>
      <c r="C942" s="2"/>
      <c r="D942" s="2"/>
      <c r="E942" s="2"/>
      <c r="F942" s="2"/>
      <c r="G942" s="2"/>
      <c r="H942" s="2"/>
      <c r="I942" s="2"/>
      <c r="J942" s="2"/>
      <c r="K942" s="2"/>
      <c r="L942" s="2"/>
    </row>
    <row r="943" spans="1:12" ht="15.75" customHeight="1" x14ac:dyDescent="0.2">
      <c r="A943" s="2"/>
      <c r="B943" s="2"/>
      <c r="C943" s="2"/>
      <c r="D943" s="2"/>
      <c r="E943" s="2"/>
      <c r="F943" s="2"/>
      <c r="G943" s="2"/>
      <c r="H943" s="2"/>
      <c r="I943" s="2"/>
      <c r="J943" s="2"/>
      <c r="K943" s="2"/>
      <c r="L943" s="2"/>
    </row>
    <row r="944" spans="1:12" ht="15.75" customHeight="1" x14ac:dyDescent="0.2">
      <c r="A944" s="2"/>
      <c r="B944" s="2"/>
      <c r="C944" s="2"/>
      <c r="D944" s="2"/>
      <c r="E944" s="2"/>
      <c r="F944" s="2"/>
      <c r="G944" s="2"/>
      <c r="H944" s="2"/>
      <c r="I944" s="2"/>
      <c r="J944" s="2"/>
      <c r="K944" s="2"/>
      <c r="L944" s="2"/>
    </row>
    <row r="945" spans="1:12" ht="15.75" customHeight="1" x14ac:dyDescent="0.2">
      <c r="A945" s="2"/>
      <c r="B945" s="2"/>
      <c r="C945" s="2"/>
      <c r="D945" s="2"/>
      <c r="E945" s="2"/>
      <c r="F945" s="2"/>
      <c r="G945" s="2"/>
      <c r="H945" s="2"/>
      <c r="I945" s="2"/>
      <c r="J945" s="2"/>
      <c r="K945" s="2"/>
      <c r="L945" s="2"/>
    </row>
    <row r="946" spans="1:12" ht="15.75" customHeight="1" x14ac:dyDescent="0.2">
      <c r="A946" s="2"/>
      <c r="B946" s="2"/>
      <c r="C946" s="2"/>
      <c r="D946" s="2"/>
      <c r="E946" s="2"/>
      <c r="F946" s="2"/>
      <c r="G946" s="2"/>
      <c r="H946" s="2"/>
      <c r="I946" s="2"/>
      <c r="J946" s="2"/>
      <c r="K946" s="2"/>
      <c r="L946" s="2"/>
    </row>
    <row r="947" spans="1:12" ht="15.75" customHeight="1" x14ac:dyDescent="0.2">
      <c r="A947" s="2"/>
      <c r="B947" s="2"/>
      <c r="C947" s="2"/>
      <c r="D947" s="2"/>
      <c r="E947" s="2"/>
      <c r="F947" s="2"/>
      <c r="G947" s="2"/>
      <c r="H947" s="2"/>
      <c r="I947" s="2"/>
      <c r="J947" s="2"/>
      <c r="K947" s="2"/>
      <c r="L947" s="2"/>
    </row>
    <row r="948" spans="1:12" ht="15.75" customHeight="1" x14ac:dyDescent="0.2">
      <c r="A948" s="2"/>
      <c r="B948" s="2"/>
      <c r="C948" s="2"/>
      <c r="D948" s="2"/>
      <c r="E948" s="2"/>
      <c r="F948" s="2"/>
      <c r="G948" s="2"/>
      <c r="H948" s="2"/>
      <c r="I948" s="2"/>
      <c r="J948" s="2"/>
      <c r="K948" s="2"/>
      <c r="L948" s="2"/>
    </row>
    <row r="949" spans="1:12" ht="15.75" customHeight="1" x14ac:dyDescent="0.2">
      <c r="A949" s="2"/>
      <c r="B949" s="2"/>
      <c r="C949" s="2"/>
      <c r="D949" s="2"/>
      <c r="E949" s="2"/>
      <c r="F949" s="2"/>
      <c r="G949" s="2"/>
      <c r="H949" s="2"/>
      <c r="I949" s="2"/>
      <c r="J949" s="2"/>
      <c r="K949" s="2"/>
      <c r="L949" s="2"/>
    </row>
    <row r="950" spans="1:12" ht="15.75" customHeight="1" x14ac:dyDescent="0.2">
      <c r="A950" s="2"/>
      <c r="B950" s="2"/>
      <c r="C950" s="2"/>
      <c r="D950" s="2"/>
      <c r="E950" s="2"/>
      <c r="F950" s="2"/>
      <c r="G950" s="2"/>
      <c r="H950" s="2"/>
      <c r="I950" s="2"/>
      <c r="J950" s="2"/>
      <c r="K950" s="2"/>
      <c r="L950" s="2"/>
    </row>
    <row r="951" spans="1:12" ht="15.75" customHeight="1" x14ac:dyDescent="0.2">
      <c r="A951" s="2"/>
      <c r="B951" s="2"/>
      <c r="C951" s="2"/>
      <c r="D951" s="2"/>
      <c r="E951" s="2"/>
      <c r="F951" s="2"/>
      <c r="G951" s="2"/>
      <c r="H951" s="2"/>
      <c r="I951" s="2"/>
      <c r="J951" s="2"/>
      <c r="K951" s="2"/>
      <c r="L951" s="2"/>
    </row>
    <row r="952" spans="1:12" ht="15.75" customHeight="1" x14ac:dyDescent="0.2">
      <c r="A952" s="2"/>
      <c r="B952" s="2"/>
      <c r="C952" s="2"/>
      <c r="D952" s="2"/>
      <c r="E952" s="2"/>
      <c r="F952" s="2"/>
      <c r="G952" s="2"/>
      <c r="H952" s="2"/>
      <c r="I952" s="2"/>
      <c r="J952" s="2"/>
      <c r="K952" s="2"/>
      <c r="L952" s="2"/>
    </row>
    <row r="953" spans="1:12" ht="15.75" customHeight="1" x14ac:dyDescent="0.2">
      <c r="A953" s="2"/>
      <c r="B953" s="2"/>
      <c r="C953" s="2"/>
      <c r="D953" s="2"/>
      <c r="E953" s="2"/>
      <c r="F953" s="2"/>
      <c r="G953" s="2"/>
      <c r="H953" s="2"/>
      <c r="I953" s="2"/>
      <c r="J953" s="2"/>
      <c r="K953" s="2"/>
      <c r="L953" s="2"/>
    </row>
    <row r="954" spans="1:12" ht="15.75" customHeight="1" x14ac:dyDescent="0.2">
      <c r="A954" s="2"/>
      <c r="B954" s="2"/>
      <c r="C954" s="2"/>
      <c r="D954" s="2"/>
      <c r="E954" s="2"/>
      <c r="F954" s="2"/>
      <c r="G954" s="2"/>
      <c r="H954" s="2"/>
      <c r="I954" s="2"/>
      <c r="J954" s="2"/>
      <c r="K954" s="2"/>
      <c r="L954" s="2"/>
    </row>
    <row r="955" spans="1:12" ht="15.75" customHeight="1" x14ac:dyDescent="0.2">
      <c r="A955" s="2"/>
      <c r="B955" s="2"/>
      <c r="C955" s="2"/>
      <c r="D955" s="2"/>
      <c r="E955" s="2"/>
      <c r="F955" s="2"/>
      <c r="G955" s="2"/>
      <c r="H955" s="2"/>
      <c r="I955" s="2"/>
      <c r="J955" s="2"/>
      <c r="K955" s="2"/>
      <c r="L955" s="2"/>
    </row>
    <row r="956" spans="1:12" ht="15.75" customHeight="1" x14ac:dyDescent="0.2">
      <c r="A956" s="2"/>
      <c r="B956" s="2"/>
      <c r="C956" s="2"/>
      <c r="D956" s="2"/>
      <c r="E956" s="2"/>
      <c r="F956" s="2"/>
      <c r="G956" s="2"/>
      <c r="H956" s="2"/>
      <c r="I956" s="2"/>
      <c r="J956" s="2"/>
      <c r="K956" s="2"/>
      <c r="L956" s="2"/>
    </row>
    <row r="957" spans="1:12" ht="15.75" customHeight="1" x14ac:dyDescent="0.2">
      <c r="A957" s="2"/>
      <c r="B957" s="2"/>
      <c r="C957" s="2"/>
      <c r="D957" s="2"/>
      <c r="E957" s="2"/>
      <c r="F957" s="2"/>
      <c r="G957" s="2"/>
      <c r="H957" s="2"/>
      <c r="I957" s="2"/>
      <c r="J957" s="2"/>
      <c r="K957" s="2"/>
      <c r="L957" s="2"/>
    </row>
    <row r="958" spans="1:12" ht="15.75" customHeight="1" x14ac:dyDescent="0.2">
      <c r="A958" s="2"/>
      <c r="B958" s="2"/>
      <c r="C958" s="2"/>
      <c r="D958" s="2"/>
      <c r="E958" s="2"/>
      <c r="F958" s="2"/>
      <c r="G958" s="2"/>
      <c r="H958" s="2"/>
      <c r="I958" s="2"/>
      <c r="J958" s="2"/>
      <c r="K958" s="2"/>
      <c r="L958" s="2"/>
    </row>
    <row r="959" spans="1:12" ht="15.75" customHeight="1" x14ac:dyDescent="0.2">
      <c r="A959" s="2"/>
      <c r="B959" s="2"/>
      <c r="C959" s="2"/>
      <c r="D959" s="2"/>
      <c r="E959" s="2"/>
      <c r="F959" s="2"/>
      <c r="G959" s="2"/>
      <c r="H959" s="2"/>
      <c r="I959" s="2"/>
      <c r="J959" s="2"/>
      <c r="K959" s="2"/>
      <c r="L959" s="2"/>
    </row>
    <row r="960" spans="1:12" ht="15.75" customHeight="1" x14ac:dyDescent="0.2">
      <c r="A960" s="2"/>
      <c r="B960" s="2"/>
      <c r="C960" s="2"/>
      <c r="D960" s="2"/>
      <c r="E960" s="2"/>
      <c r="F960" s="2"/>
      <c r="G960" s="2"/>
      <c r="H960" s="2"/>
      <c r="I960" s="2"/>
      <c r="J960" s="2"/>
      <c r="K960" s="2"/>
      <c r="L960" s="2"/>
    </row>
    <row r="961" spans="1:12" ht="15.75" customHeight="1" x14ac:dyDescent="0.2">
      <c r="A961" s="2"/>
      <c r="B961" s="2"/>
      <c r="C961" s="2"/>
      <c r="D961" s="2"/>
      <c r="E961" s="2"/>
      <c r="F961" s="2"/>
      <c r="G961" s="2"/>
      <c r="H961" s="2"/>
      <c r="I961" s="2"/>
      <c r="J961" s="2"/>
      <c r="K961" s="2"/>
      <c r="L961" s="2"/>
    </row>
    <row r="962" spans="1:12" ht="15.75" customHeight="1" x14ac:dyDescent="0.2">
      <c r="A962" s="2"/>
      <c r="B962" s="2"/>
      <c r="C962" s="2"/>
      <c r="D962" s="2"/>
      <c r="E962" s="2"/>
      <c r="F962" s="2"/>
      <c r="G962" s="2"/>
      <c r="H962" s="2"/>
      <c r="I962" s="2"/>
      <c r="J962" s="2"/>
      <c r="K962" s="2"/>
      <c r="L962" s="2"/>
    </row>
    <row r="963" spans="1:12" ht="15.75" customHeight="1" x14ac:dyDescent="0.2">
      <c r="A963" s="2"/>
      <c r="B963" s="2"/>
      <c r="C963" s="2"/>
      <c r="D963" s="2"/>
      <c r="E963" s="2"/>
      <c r="F963" s="2"/>
      <c r="G963" s="2"/>
      <c r="H963" s="2"/>
      <c r="I963" s="2"/>
      <c r="J963" s="2"/>
      <c r="K963" s="2"/>
      <c r="L963" s="2"/>
    </row>
    <row r="964" spans="1:12" ht="15.75" customHeight="1" x14ac:dyDescent="0.2">
      <c r="A964" s="2"/>
      <c r="B964" s="2"/>
      <c r="C964" s="2"/>
      <c r="D964" s="2"/>
      <c r="E964" s="2"/>
      <c r="F964" s="2"/>
      <c r="G964" s="2"/>
      <c r="H964" s="2"/>
      <c r="I964" s="2"/>
      <c r="J964" s="2"/>
      <c r="K964" s="2"/>
      <c r="L964" s="2"/>
    </row>
    <row r="965" spans="1:12" ht="15.75" customHeight="1" x14ac:dyDescent="0.2">
      <c r="A965" s="2"/>
      <c r="B965" s="2"/>
      <c r="C965" s="2"/>
      <c r="D965" s="2"/>
      <c r="E965" s="2"/>
      <c r="F965" s="2"/>
      <c r="G965" s="2"/>
      <c r="H965" s="2"/>
      <c r="I965" s="2"/>
      <c r="J965" s="2"/>
      <c r="K965" s="2"/>
      <c r="L965" s="2"/>
    </row>
    <row r="966" spans="1:12" ht="15.75" customHeight="1" x14ac:dyDescent="0.2">
      <c r="A966" s="2"/>
      <c r="B966" s="2"/>
      <c r="C966" s="2"/>
      <c r="D966" s="2"/>
      <c r="E966" s="2"/>
      <c r="F966" s="2"/>
      <c r="G966" s="2"/>
      <c r="H966" s="2"/>
      <c r="I966" s="2"/>
      <c r="J966" s="2"/>
      <c r="K966" s="2"/>
      <c r="L966" s="2"/>
    </row>
    <row r="967" spans="1:12" ht="15.75" customHeight="1" x14ac:dyDescent="0.2">
      <c r="A967" s="2"/>
      <c r="B967" s="2"/>
      <c r="C967" s="2"/>
      <c r="D967" s="2"/>
      <c r="E967" s="2"/>
      <c r="F967" s="2"/>
      <c r="G967" s="2"/>
      <c r="H967" s="2"/>
      <c r="I967" s="2"/>
      <c r="J967" s="2"/>
      <c r="K967" s="2"/>
      <c r="L967" s="2"/>
    </row>
    <row r="968" spans="1:12" ht="15.75" customHeight="1" x14ac:dyDescent="0.2">
      <c r="A968" s="2"/>
      <c r="B968" s="2"/>
      <c r="C968" s="2"/>
      <c r="D968" s="2"/>
      <c r="E968" s="2"/>
      <c r="F968" s="2"/>
      <c r="G968" s="2"/>
      <c r="H968" s="2"/>
      <c r="I968" s="2"/>
      <c r="J968" s="2"/>
      <c r="K968" s="2"/>
      <c r="L968" s="2"/>
    </row>
    <row r="969" spans="1:12" ht="15.75" customHeight="1" x14ac:dyDescent="0.2">
      <c r="A969" s="2"/>
      <c r="B969" s="2"/>
      <c r="C969" s="2"/>
      <c r="D969" s="2"/>
      <c r="E969" s="2"/>
      <c r="F969" s="2"/>
      <c r="G969" s="2"/>
      <c r="H969" s="2"/>
      <c r="I969" s="2"/>
      <c r="J969" s="2"/>
      <c r="K969" s="2"/>
      <c r="L969" s="2"/>
    </row>
    <row r="970" spans="1:12" ht="15.75" customHeight="1" x14ac:dyDescent="0.2">
      <c r="A970" s="2"/>
      <c r="B970" s="2"/>
      <c r="C970" s="2"/>
      <c r="D970" s="2"/>
      <c r="E970" s="2"/>
      <c r="F970" s="2"/>
      <c r="G970" s="2"/>
      <c r="H970" s="2"/>
      <c r="I970" s="2"/>
      <c r="J970" s="2"/>
      <c r="K970" s="2"/>
      <c r="L970" s="2"/>
    </row>
    <row r="971" spans="1:12" ht="15.75" customHeight="1" x14ac:dyDescent="0.2">
      <c r="A971" s="2"/>
      <c r="B971" s="2"/>
      <c r="C971" s="2"/>
      <c r="D971" s="2"/>
      <c r="E971" s="2"/>
      <c r="F971" s="2"/>
      <c r="G971" s="2"/>
      <c r="H971" s="2"/>
      <c r="I971" s="2"/>
      <c r="J971" s="2"/>
      <c r="K971" s="2"/>
      <c r="L971" s="2"/>
    </row>
    <row r="972" spans="1:12" ht="15.75" customHeight="1" x14ac:dyDescent="0.2">
      <c r="A972" s="2"/>
      <c r="B972" s="2"/>
      <c r="C972" s="2"/>
      <c r="D972" s="2"/>
      <c r="E972" s="2"/>
      <c r="F972" s="2"/>
      <c r="G972" s="2"/>
      <c r="H972" s="2"/>
      <c r="I972" s="2"/>
      <c r="J972" s="2"/>
      <c r="K972" s="2"/>
      <c r="L972" s="2"/>
    </row>
    <row r="973" spans="1:12" ht="15.75" customHeight="1" x14ac:dyDescent="0.2">
      <c r="A973" s="2"/>
      <c r="B973" s="2"/>
      <c r="C973" s="2"/>
      <c r="D973" s="2"/>
      <c r="E973" s="2"/>
      <c r="F973" s="2"/>
      <c r="G973" s="2"/>
      <c r="H973" s="2"/>
      <c r="I973" s="2"/>
      <c r="J973" s="2"/>
      <c r="K973" s="2"/>
      <c r="L973" s="2"/>
    </row>
    <row r="974" spans="1:12" ht="15.75" customHeight="1" x14ac:dyDescent="0.2">
      <c r="A974" s="2"/>
      <c r="B974" s="2"/>
      <c r="C974" s="2"/>
      <c r="D974" s="2"/>
      <c r="E974" s="2"/>
      <c r="F974" s="2"/>
      <c r="G974" s="2"/>
      <c r="H974" s="2"/>
      <c r="I974" s="2"/>
      <c r="J974" s="2"/>
      <c r="K974" s="2"/>
      <c r="L974" s="2"/>
    </row>
    <row r="975" spans="1:12" ht="15.75" customHeight="1" x14ac:dyDescent="0.2">
      <c r="A975" s="2"/>
      <c r="B975" s="2"/>
      <c r="C975" s="2"/>
      <c r="D975" s="2"/>
      <c r="E975" s="2"/>
      <c r="F975" s="2"/>
      <c r="G975" s="2"/>
      <c r="H975" s="2"/>
      <c r="I975" s="2"/>
      <c r="J975" s="2"/>
      <c r="K975" s="2"/>
      <c r="L975" s="2"/>
    </row>
    <row r="976" spans="1:12" ht="15.75" customHeight="1" x14ac:dyDescent="0.2">
      <c r="A976" s="2"/>
      <c r="B976" s="2"/>
      <c r="C976" s="2"/>
      <c r="D976" s="2"/>
      <c r="E976" s="2"/>
      <c r="F976" s="2"/>
      <c r="G976" s="2"/>
      <c r="H976" s="2"/>
      <c r="I976" s="2"/>
      <c r="J976" s="2"/>
      <c r="K976" s="2"/>
      <c r="L976" s="2"/>
    </row>
    <row r="977" spans="1:12" ht="15.75" customHeight="1" x14ac:dyDescent="0.2">
      <c r="A977" s="2"/>
      <c r="B977" s="2"/>
      <c r="C977" s="2"/>
      <c r="D977" s="2"/>
      <c r="E977" s="2"/>
      <c r="F977" s="2"/>
      <c r="G977" s="2"/>
      <c r="H977" s="2"/>
      <c r="I977" s="2"/>
      <c r="J977" s="2"/>
      <c r="K977" s="2"/>
      <c r="L977" s="2"/>
    </row>
    <row r="978" spans="1:12" ht="15.75" customHeight="1" x14ac:dyDescent="0.2">
      <c r="A978" s="2"/>
      <c r="B978" s="2"/>
      <c r="C978" s="2"/>
      <c r="D978" s="2"/>
      <c r="E978" s="2"/>
      <c r="F978" s="2"/>
      <c r="G978" s="2"/>
      <c r="H978" s="2"/>
      <c r="I978" s="2"/>
      <c r="J978" s="2"/>
      <c r="K978" s="2"/>
      <c r="L978" s="2"/>
    </row>
    <row r="979" spans="1:12" ht="15.75" customHeight="1" x14ac:dyDescent="0.2">
      <c r="A979" s="2"/>
      <c r="B979" s="2"/>
      <c r="C979" s="2"/>
      <c r="D979" s="2"/>
      <c r="E979" s="2"/>
      <c r="F979" s="2"/>
      <c r="G979" s="2"/>
      <c r="H979" s="2"/>
      <c r="I979" s="2"/>
      <c r="J979" s="2"/>
      <c r="K979" s="2"/>
      <c r="L979" s="2"/>
    </row>
    <row r="980" spans="1:12" ht="15.75" customHeight="1" x14ac:dyDescent="0.2">
      <c r="A980" s="2"/>
      <c r="B980" s="2"/>
      <c r="C980" s="2"/>
      <c r="D980" s="2"/>
      <c r="E980" s="2"/>
      <c r="F980" s="2"/>
      <c r="G980" s="2"/>
      <c r="H980" s="2"/>
      <c r="I980" s="2"/>
      <c r="J980" s="2"/>
      <c r="K980" s="2"/>
      <c r="L980" s="2"/>
    </row>
    <row r="981" spans="1:12" ht="15.75" customHeight="1" x14ac:dyDescent="0.2">
      <c r="A981" s="2"/>
      <c r="B981" s="2"/>
      <c r="C981" s="2"/>
      <c r="D981" s="2"/>
      <c r="E981" s="2"/>
      <c r="F981" s="2"/>
      <c r="G981" s="2"/>
      <c r="H981" s="2"/>
      <c r="I981" s="2"/>
      <c r="J981" s="2"/>
      <c r="K981" s="2"/>
      <c r="L981" s="2"/>
    </row>
    <row r="982" spans="1:12" ht="15.75" customHeight="1" x14ac:dyDescent="0.2">
      <c r="A982" s="2"/>
      <c r="B982" s="2"/>
      <c r="C982" s="2"/>
      <c r="D982" s="2"/>
      <c r="E982" s="2"/>
      <c r="F982" s="2"/>
      <c r="G982" s="2"/>
      <c r="H982" s="2"/>
      <c r="I982" s="2"/>
      <c r="J982" s="2"/>
      <c r="K982" s="2"/>
      <c r="L982" s="2"/>
    </row>
    <row r="983" spans="1:12" ht="15.75" customHeight="1" x14ac:dyDescent="0.2">
      <c r="A983" s="2"/>
      <c r="B983" s="2"/>
      <c r="C983" s="2"/>
      <c r="D983" s="2"/>
      <c r="E983" s="2"/>
      <c r="F983" s="2"/>
      <c r="G983" s="2"/>
      <c r="H983" s="2"/>
      <c r="I983" s="2"/>
      <c r="J983" s="2"/>
      <c r="K983" s="2"/>
      <c r="L983" s="2"/>
    </row>
    <row r="984" spans="1:12" ht="15.75" customHeight="1" x14ac:dyDescent="0.2">
      <c r="A984" s="2"/>
      <c r="B984" s="2"/>
      <c r="C984" s="2"/>
      <c r="D984" s="2"/>
      <c r="E984" s="2"/>
      <c r="F984" s="2"/>
      <c r="G984" s="2"/>
      <c r="H984" s="2"/>
      <c r="I984" s="2"/>
      <c r="J984" s="2"/>
      <c r="K984" s="2"/>
      <c r="L984" s="2"/>
    </row>
    <row r="985" spans="1:12" ht="15.75" customHeight="1" x14ac:dyDescent="0.2">
      <c r="A985" s="2"/>
      <c r="B985" s="2"/>
      <c r="C985" s="2"/>
      <c r="D985" s="2"/>
      <c r="E985" s="2"/>
      <c r="F985" s="2"/>
      <c r="G985" s="2"/>
      <c r="H985" s="2"/>
      <c r="I985" s="2"/>
      <c r="J985" s="2"/>
      <c r="K985" s="2"/>
      <c r="L985" s="2"/>
    </row>
    <row r="986" spans="1:12" ht="15.75" customHeight="1" x14ac:dyDescent="0.2">
      <c r="A986" s="2"/>
      <c r="B986" s="2"/>
      <c r="C986" s="2"/>
      <c r="D986" s="2"/>
      <c r="E986" s="2"/>
      <c r="F986" s="2"/>
      <c r="G986" s="2"/>
      <c r="H986" s="2"/>
      <c r="I986" s="2"/>
      <c r="J986" s="2"/>
      <c r="K986" s="2"/>
      <c r="L986" s="2"/>
    </row>
    <row r="987" spans="1:12" ht="15.75" customHeight="1" x14ac:dyDescent="0.2">
      <c r="A987" s="2"/>
      <c r="B987" s="2"/>
      <c r="C987" s="2"/>
      <c r="D987" s="2"/>
      <c r="E987" s="2"/>
      <c r="F987" s="2"/>
      <c r="G987" s="2"/>
      <c r="H987" s="2"/>
      <c r="I987" s="2"/>
      <c r="J987" s="2"/>
      <c r="K987" s="2"/>
      <c r="L987" s="2"/>
    </row>
    <row r="988" spans="1:12" ht="15.75" customHeight="1" x14ac:dyDescent="0.2">
      <c r="A988" s="2"/>
      <c r="B988" s="2"/>
      <c r="C988" s="2"/>
      <c r="D988" s="2"/>
      <c r="E988" s="2"/>
      <c r="F988" s="2"/>
      <c r="G988" s="2"/>
      <c r="H988" s="2"/>
      <c r="I988" s="2"/>
      <c r="J988" s="2"/>
      <c r="K988" s="2"/>
      <c r="L988" s="2"/>
    </row>
    <row r="989" spans="1:12" ht="15.75" customHeight="1" x14ac:dyDescent="0.2">
      <c r="A989" s="2"/>
      <c r="B989" s="2"/>
      <c r="C989" s="2"/>
      <c r="D989" s="2"/>
      <c r="E989" s="2"/>
      <c r="F989" s="2"/>
      <c r="G989" s="2"/>
      <c r="H989" s="2"/>
      <c r="I989" s="2"/>
      <c r="J989" s="2"/>
      <c r="K989" s="2"/>
      <c r="L989" s="2"/>
    </row>
    <row r="990" spans="1:12" ht="15.75" customHeight="1" x14ac:dyDescent="0.2">
      <c r="A990" s="2"/>
      <c r="B990" s="2"/>
      <c r="C990" s="2"/>
      <c r="D990" s="2"/>
      <c r="E990" s="2"/>
      <c r="F990" s="2"/>
      <c r="G990" s="2"/>
      <c r="H990" s="2"/>
      <c r="I990" s="2"/>
      <c r="J990" s="2"/>
      <c r="K990" s="2"/>
      <c r="L990" s="2"/>
    </row>
    <row r="991" spans="1:12" ht="15.75" customHeight="1" x14ac:dyDescent="0.2">
      <c r="A991" s="2"/>
      <c r="B991" s="2"/>
      <c r="C991" s="2"/>
      <c r="D991" s="2"/>
      <c r="E991" s="2"/>
      <c r="F991" s="2"/>
      <c r="G991" s="2"/>
      <c r="H991" s="2"/>
      <c r="I991" s="2"/>
      <c r="J991" s="2"/>
      <c r="K991" s="2"/>
      <c r="L991" s="2"/>
    </row>
    <row r="992" spans="1:12" ht="15.75" customHeight="1" x14ac:dyDescent="0.2">
      <c r="A992" s="2"/>
      <c r="B992" s="2"/>
      <c r="C992" s="2"/>
      <c r="D992" s="2"/>
      <c r="E992" s="2"/>
      <c r="F992" s="2"/>
      <c r="G992" s="2"/>
      <c r="H992" s="2"/>
      <c r="I992" s="2"/>
      <c r="J992" s="2"/>
      <c r="K992" s="2"/>
      <c r="L992" s="2"/>
    </row>
    <row r="993" spans="1:12" ht="15.75" customHeight="1" x14ac:dyDescent="0.2">
      <c r="A993" s="2"/>
      <c r="B993" s="2"/>
      <c r="C993" s="2"/>
      <c r="D993" s="2"/>
      <c r="E993" s="2"/>
      <c r="F993" s="2"/>
      <c r="G993" s="2"/>
      <c r="H993" s="2"/>
      <c r="I993" s="2"/>
      <c r="J993" s="2"/>
      <c r="K993" s="2"/>
      <c r="L993" s="2"/>
    </row>
    <row r="994" spans="1:12" ht="15.75" customHeight="1" x14ac:dyDescent="0.2">
      <c r="A994" s="2"/>
      <c r="B994" s="2"/>
      <c r="C994" s="2"/>
      <c r="D994" s="2"/>
      <c r="E994" s="2"/>
      <c r="F994" s="2"/>
      <c r="G994" s="2"/>
      <c r="H994" s="2"/>
      <c r="I994" s="2"/>
      <c r="J994" s="2"/>
      <c r="K994" s="2"/>
      <c r="L994" s="2"/>
    </row>
    <row r="995" spans="1:12" ht="15.75" customHeight="1" x14ac:dyDescent="0.2">
      <c r="A995" s="2"/>
      <c r="B995" s="2"/>
      <c r="C995" s="2"/>
      <c r="D995" s="2"/>
      <c r="E995" s="2"/>
      <c r="F995" s="2"/>
      <c r="G995" s="2"/>
      <c r="H995" s="2"/>
      <c r="I995" s="2"/>
      <c r="J995" s="2"/>
      <c r="K995" s="2"/>
      <c r="L995" s="2"/>
    </row>
    <row r="996" spans="1:12" ht="15.75" customHeight="1" x14ac:dyDescent="0.2">
      <c r="A996" s="2"/>
      <c r="B996" s="2"/>
      <c r="C996" s="2"/>
      <c r="D996" s="2"/>
      <c r="E996" s="2"/>
      <c r="F996" s="2"/>
      <c r="G996" s="2"/>
      <c r="H996" s="2"/>
      <c r="I996" s="2"/>
      <c r="J996" s="2"/>
      <c r="K996" s="2"/>
      <c r="L996" s="2"/>
    </row>
    <row r="997" spans="1:12" ht="15.75" customHeight="1" x14ac:dyDescent="0.2">
      <c r="A997" s="2"/>
      <c r="B997" s="2"/>
      <c r="C997" s="2"/>
      <c r="D997" s="2"/>
      <c r="E997" s="2"/>
      <c r="F997" s="2"/>
      <c r="G997" s="2"/>
      <c r="H997" s="2"/>
      <c r="I997" s="2"/>
      <c r="J997" s="2"/>
      <c r="K997" s="2"/>
      <c r="L997" s="2"/>
    </row>
    <row r="998" spans="1:12" ht="15.75" customHeight="1" x14ac:dyDescent="0.2">
      <c r="A998" s="2"/>
      <c r="B998" s="2"/>
      <c r="C998" s="2"/>
      <c r="D998" s="2"/>
      <c r="E998" s="2"/>
      <c r="F998" s="2"/>
      <c r="G998" s="2"/>
      <c r="H998" s="2"/>
      <c r="I998" s="2"/>
      <c r="J998" s="2"/>
      <c r="K998" s="2"/>
      <c r="L998" s="2"/>
    </row>
    <row r="999" spans="1:12" ht="15.75" customHeight="1" x14ac:dyDescent="0.2">
      <c r="A999" s="2"/>
      <c r="B999" s="2"/>
      <c r="C999" s="2"/>
      <c r="D999" s="2"/>
      <c r="E999" s="2"/>
      <c r="F999" s="2"/>
      <c r="G999" s="2"/>
      <c r="H999" s="2"/>
      <c r="I999" s="2"/>
      <c r="J999" s="2"/>
      <c r="K999" s="2"/>
      <c r="L999" s="2"/>
    </row>
    <row r="1000" spans="1:12" ht="15.75" customHeight="1" x14ac:dyDescent="0.2">
      <c r="A1000" s="2"/>
      <c r="B1000" s="2"/>
      <c r="C1000" s="2"/>
      <c r="D1000" s="2"/>
      <c r="E1000" s="2"/>
      <c r="F1000" s="2"/>
      <c r="G1000" s="2"/>
      <c r="H1000" s="2"/>
      <c r="I1000" s="2"/>
      <c r="J1000" s="2"/>
      <c r="K1000" s="2"/>
      <c r="L1000" s="2"/>
    </row>
    <row r="1001" spans="1:12" ht="15" customHeight="1" x14ac:dyDescent="0.2">
      <c r="B1001" s="2"/>
      <c r="C1001" s="2"/>
    </row>
    <row r="1002" spans="1:12" ht="15" customHeight="1" x14ac:dyDescent="0.2">
      <c r="B1002" s="2"/>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zoomScaleNormal="100" workbookViewId="0">
      <selection activeCell="A3" sqref="A3"/>
    </sheetView>
  </sheetViews>
  <sheetFormatPr baseColWidth="10" defaultColWidth="8.6640625" defaultRowHeight="15" x14ac:dyDescent="0.2"/>
  <cols>
    <col min="1" max="1" width="105" customWidth="1"/>
  </cols>
  <sheetData>
    <row r="1" spans="1:1" ht="16.5" customHeight="1" x14ac:dyDescent="0.2">
      <c r="A1" s="65" t="s">
        <v>1766</v>
      </c>
    </row>
    <row r="2" spans="1:1" x14ac:dyDescent="0.2">
      <c r="A2" s="66"/>
    </row>
    <row r="3" spans="1:1" ht="30" customHeight="1" x14ac:dyDescent="0.2">
      <c r="A3" s="66" t="s">
        <v>1767</v>
      </c>
    </row>
    <row r="4" spans="1:1" x14ac:dyDescent="0.2">
      <c r="A4" s="66"/>
    </row>
    <row r="5" spans="1:1" x14ac:dyDescent="0.2">
      <c r="A5" s="67" t="s">
        <v>1768</v>
      </c>
    </row>
    <row r="6" spans="1:1" x14ac:dyDescent="0.2">
      <c r="A6" s="66" t="s">
        <v>1769</v>
      </c>
    </row>
    <row r="7" spans="1:1" x14ac:dyDescent="0.2">
      <c r="A7" s="66" t="s">
        <v>1770</v>
      </c>
    </row>
    <row r="8" spans="1:1" x14ac:dyDescent="0.2">
      <c r="A8" s="66" t="s">
        <v>1771</v>
      </c>
    </row>
    <row r="9" spans="1:1" x14ac:dyDescent="0.2">
      <c r="A9" s="66" t="s">
        <v>1772</v>
      </c>
    </row>
    <row r="10" spans="1:1" x14ac:dyDescent="0.2">
      <c r="A10" s="66" t="s">
        <v>1773</v>
      </c>
    </row>
    <row r="11" spans="1:1" x14ac:dyDescent="0.2">
      <c r="A11" s="66"/>
    </row>
    <row r="12" spans="1:1" x14ac:dyDescent="0.2">
      <c r="A12" s="67" t="s">
        <v>1774</v>
      </c>
    </row>
    <row r="13" spans="1:1" x14ac:dyDescent="0.2">
      <c r="A13" s="66" t="s">
        <v>1775</v>
      </c>
    </row>
    <row r="14" spans="1:1" x14ac:dyDescent="0.2">
      <c r="A14" s="66" t="s">
        <v>1776</v>
      </c>
    </row>
    <row r="15" spans="1:1" x14ac:dyDescent="0.2">
      <c r="A15" s="66" t="s">
        <v>1777</v>
      </c>
    </row>
    <row r="16" spans="1:1" x14ac:dyDescent="0.2">
      <c r="A16" s="66"/>
    </row>
    <row r="17" spans="1:1" x14ac:dyDescent="0.2">
      <c r="A17" s="67" t="s">
        <v>1778</v>
      </c>
    </row>
    <row r="18" spans="1:1" x14ac:dyDescent="0.2">
      <c r="A18" s="66" t="s">
        <v>1779</v>
      </c>
    </row>
    <row r="19" spans="1:1" x14ac:dyDescent="0.2">
      <c r="A19" s="66" t="s">
        <v>1780</v>
      </c>
    </row>
    <row r="20" spans="1:1" x14ac:dyDescent="0.2">
      <c r="A20" s="66" t="s">
        <v>1781</v>
      </c>
    </row>
    <row r="21" spans="1:1" x14ac:dyDescent="0.2">
      <c r="A21" s="66" t="s">
        <v>1782</v>
      </c>
    </row>
    <row r="22" spans="1:1" x14ac:dyDescent="0.2">
      <c r="A22" s="66"/>
    </row>
    <row r="23" spans="1:1" x14ac:dyDescent="0.2">
      <c r="A23" s="67" t="s">
        <v>1783</v>
      </c>
    </row>
    <row r="24" spans="1:1" x14ac:dyDescent="0.2">
      <c r="A24" s="66" t="s">
        <v>1784</v>
      </c>
    </row>
    <row r="25" spans="1:1" x14ac:dyDescent="0.2">
      <c r="A25" s="66" t="s">
        <v>1785</v>
      </c>
    </row>
    <row r="26" spans="1:1" x14ac:dyDescent="0.2">
      <c r="A26" s="66" t="s">
        <v>1786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
  <sheetViews>
    <sheetView zoomScale="150" zoomScaleNormal="150" workbookViewId="0">
      <selection activeCell="C8" sqref="C8"/>
    </sheetView>
  </sheetViews>
  <sheetFormatPr baseColWidth="10" defaultColWidth="10.6640625" defaultRowHeight="15" x14ac:dyDescent="0.2"/>
  <cols>
    <col min="2" max="2" width="36.33203125" customWidth="1"/>
    <col min="3" max="3" width="37.1640625" customWidth="1"/>
    <col min="4" max="4" width="37" customWidth="1"/>
  </cols>
  <sheetData>
    <row r="1" spans="1:20" x14ac:dyDescent="0.2">
      <c r="A1" s="94" t="s">
        <v>1787</v>
      </c>
      <c r="B1" s="94"/>
      <c r="C1" s="94"/>
      <c r="D1" s="94"/>
    </row>
    <row r="2" spans="1:20" x14ac:dyDescent="0.2">
      <c r="A2" s="1" t="s">
        <v>1788</v>
      </c>
      <c r="B2" s="1" t="s">
        <v>1789</v>
      </c>
      <c r="C2" s="1" t="s">
        <v>1790</v>
      </c>
      <c r="D2" s="88" t="s">
        <v>1791</v>
      </c>
      <c r="E2" s="88" t="s">
        <v>2004</v>
      </c>
      <c r="F2" s="88" t="s">
        <v>2005</v>
      </c>
    </row>
    <row r="3" spans="1:20" x14ac:dyDescent="0.2">
      <c r="A3" s="2" t="s">
        <v>1792</v>
      </c>
      <c r="B3" s="2" t="s">
        <v>1793</v>
      </c>
      <c r="C3" s="2" t="s">
        <v>1794</v>
      </c>
      <c r="D3" s="68" t="s">
        <v>1795</v>
      </c>
      <c r="K3">
        <f>1/6</f>
        <v>0.16666666666666666</v>
      </c>
      <c r="L3">
        <f>1/7</f>
        <v>0.14285714285714285</v>
      </c>
      <c r="O3" s="2" t="s">
        <v>1792</v>
      </c>
      <c r="P3" s="2" t="s">
        <v>1796</v>
      </c>
      <c r="Q3" s="2" t="s">
        <v>1797</v>
      </c>
      <c r="R3" s="2" t="s">
        <v>1798</v>
      </c>
      <c r="S3" s="2" t="s">
        <v>1799</v>
      </c>
      <c r="T3" s="2" t="s">
        <v>1800</v>
      </c>
    </row>
    <row r="4" spans="1:20" x14ac:dyDescent="0.2">
      <c r="A4" s="2" t="s">
        <v>1796</v>
      </c>
      <c r="B4" s="2" t="s">
        <v>1801</v>
      </c>
      <c r="C4" s="2" t="s">
        <v>1802</v>
      </c>
      <c r="D4" s="2" t="s">
        <v>1803</v>
      </c>
      <c r="K4">
        <f>K3*2</f>
        <v>0.33333333333333331</v>
      </c>
      <c r="L4">
        <f>L3*2</f>
        <v>0.2857142857142857</v>
      </c>
    </row>
    <row r="5" spans="1:20" x14ac:dyDescent="0.2">
      <c r="A5" s="69" t="s">
        <v>1797</v>
      </c>
      <c r="B5" s="69" t="s">
        <v>1804</v>
      </c>
      <c r="C5" s="69" t="s">
        <v>1805</v>
      </c>
      <c r="D5" s="2" t="s">
        <v>1806</v>
      </c>
      <c r="E5" s="86" t="s">
        <v>2006</v>
      </c>
      <c r="K5">
        <f>K3*3</f>
        <v>0.5</v>
      </c>
      <c r="L5">
        <f>L3*3</f>
        <v>0.42857142857142855</v>
      </c>
    </row>
    <row r="6" spans="1:20" x14ac:dyDescent="0.2">
      <c r="A6" s="2" t="s">
        <v>1799</v>
      </c>
      <c r="B6" s="2" t="s">
        <v>1807</v>
      </c>
      <c r="C6" s="2" t="s">
        <v>1808</v>
      </c>
      <c r="D6" s="2" t="s">
        <v>1809</v>
      </c>
      <c r="K6">
        <f>K3*5</f>
        <v>0.83333333333333326</v>
      </c>
      <c r="L6">
        <f>L3*5</f>
        <v>0.71428571428571419</v>
      </c>
    </row>
    <row r="7" spans="1:20" x14ac:dyDescent="0.2">
      <c r="A7" s="85" t="s">
        <v>1800</v>
      </c>
      <c r="B7" s="85" t="s">
        <v>1810</v>
      </c>
      <c r="C7" s="85" t="s">
        <v>1811</v>
      </c>
      <c r="L7">
        <f>L3*6</f>
        <v>0.8571428571428571</v>
      </c>
    </row>
    <row r="8" spans="1:20" x14ac:dyDescent="0.2">
      <c r="A8" s="85" t="s">
        <v>1812</v>
      </c>
      <c r="B8" s="85" t="s">
        <v>1813</v>
      </c>
      <c r="C8" s="85" t="s">
        <v>1996</v>
      </c>
      <c r="D8" s="86" t="s">
        <v>1997</v>
      </c>
      <c r="E8" s="87" t="s">
        <v>1998</v>
      </c>
      <c r="F8" s="86" t="s">
        <v>1999</v>
      </c>
    </row>
    <row r="9" spans="1:20" x14ac:dyDescent="0.2">
      <c r="A9" s="86" t="s">
        <v>1814</v>
      </c>
      <c r="B9" s="86" t="s">
        <v>1815</v>
      </c>
      <c r="C9" s="86" t="s">
        <v>2000</v>
      </c>
      <c r="D9" s="86" t="s">
        <v>2001</v>
      </c>
    </row>
    <row r="10" spans="1:20" x14ac:dyDescent="0.2">
      <c r="A10" s="86" t="s">
        <v>1816</v>
      </c>
      <c r="B10" s="86" t="s">
        <v>1817</v>
      </c>
      <c r="C10" s="86" t="s">
        <v>2002</v>
      </c>
      <c r="D10" s="86" t="s">
        <v>2003</v>
      </c>
      <c r="K10" s="2" t="s">
        <v>1818</v>
      </c>
    </row>
    <row r="11" spans="1:20" x14ac:dyDescent="0.2">
      <c r="A11" s="2"/>
      <c r="B11" s="2"/>
      <c r="K11" s="2"/>
    </row>
    <row r="12" spans="1:20" x14ac:dyDescent="0.2">
      <c r="A12" s="69" t="s">
        <v>1819</v>
      </c>
      <c r="K12" s="2" t="s">
        <v>1820</v>
      </c>
    </row>
    <row r="16" spans="1:20" x14ac:dyDescent="0.2">
      <c r="A16" s="70" t="s">
        <v>1798</v>
      </c>
      <c r="B16" s="70" t="s">
        <v>1821</v>
      </c>
      <c r="C16" s="70" t="s">
        <v>1822</v>
      </c>
      <c r="K16">
        <f>K3*4</f>
        <v>0.66666666666666663</v>
      </c>
      <c r="L16">
        <f>L3*4</f>
        <v>0.5714285714285714</v>
      </c>
    </row>
    <row r="19" spans="1:2" x14ac:dyDescent="0.2">
      <c r="A19" s="2" t="s">
        <v>1823</v>
      </c>
    </row>
    <row r="20" spans="1:2" x14ac:dyDescent="0.2">
      <c r="A20" s="2" t="s">
        <v>1824</v>
      </c>
    </row>
    <row r="21" spans="1:2" x14ac:dyDescent="0.2">
      <c r="A21" s="2" t="s">
        <v>1825</v>
      </c>
      <c r="B21" s="2" t="s">
        <v>1826</v>
      </c>
    </row>
  </sheetData>
  <mergeCells count="1">
    <mergeCell ref="A1:D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1"/>
  <sheetViews>
    <sheetView topLeftCell="A8" zoomScale="130" zoomScaleNormal="130" workbookViewId="0">
      <selection activeCell="B10" sqref="B10"/>
    </sheetView>
  </sheetViews>
  <sheetFormatPr baseColWidth="10" defaultColWidth="8.83203125" defaultRowHeight="15" x14ac:dyDescent="0.2"/>
  <cols>
    <col min="1" max="1" width="38.5" customWidth="1"/>
    <col min="2" max="2" width="55" customWidth="1"/>
    <col min="3" max="3" width="96" customWidth="1"/>
  </cols>
  <sheetData>
    <row r="1" spans="1:3" ht="54.75" customHeight="1" x14ac:dyDescent="0.2">
      <c r="A1" s="65" t="s">
        <v>1827</v>
      </c>
    </row>
    <row r="3" spans="1:3" ht="66.75" customHeight="1" x14ac:dyDescent="0.2">
      <c r="A3" s="71" t="s">
        <v>1828</v>
      </c>
      <c r="B3" s="50" t="s">
        <v>1829</v>
      </c>
    </row>
    <row r="5" spans="1:3" x14ac:dyDescent="0.2">
      <c r="A5" s="72" t="s">
        <v>1830</v>
      </c>
    </row>
    <row r="6" spans="1:3" ht="97.5" customHeight="1" x14ac:dyDescent="0.2">
      <c r="A6" s="72" t="s">
        <v>1831</v>
      </c>
      <c r="B6" s="71" t="s">
        <v>1832</v>
      </c>
    </row>
    <row r="7" spans="1:3" ht="42" customHeight="1" x14ac:dyDescent="0.2">
      <c r="A7" s="72" t="s">
        <v>1833</v>
      </c>
      <c r="B7" s="71" t="s">
        <v>1834</v>
      </c>
    </row>
    <row r="8" spans="1:3" ht="42" customHeight="1" x14ac:dyDescent="0.2">
      <c r="A8" s="72" t="s">
        <v>1835</v>
      </c>
      <c r="B8" s="71" t="s">
        <v>1836</v>
      </c>
    </row>
    <row r="9" spans="1:3" ht="42" customHeight="1" x14ac:dyDescent="0.2">
      <c r="A9" s="72" t="s">
        <v>1837</v>
      </c>
      <c r="B9" s="71" t="s">
        <v>1838</v>
      </c>
    </row>
    <row r="10" spans="1:3" ht="42" customHeight="1" x14ac:dyDescent="0.2">
      <c r="A10" s="72" t="s">
        <v>1839</v>
      </c>
      <c r="B10" s="71" t="s">
        <v>1840</v>
      </c>
    </row>
    <row r="11" spans="1:3" ht="69.75" customHeight="1" x14ac:dyDescent="0.2">
      <c r="A11" s="72" t="s">
        <v>1841</v>
      </c>
      <c r="B11" s="71" t="s">
        <v>1842</v>
      </c>
    </row>
    <row r="12" spans="1:3" ht="42" customHeight="1" x14ac:dyDescent="0.2">
      <c r="A12" s="111" t="s">
        <v>1843</v>
      </c>
      <c r="B12" s="112" t="s">
        <v>1844</v>
      </c>
    </row>
    <row r="13" spans="1:3" ht="55.5" customHeight="1" x14ac:dyDescent="0.2">
      <c r="A13" s="72" t="s">
        <v>1845</v>
      </c>
      <c r="B13" s="71" t="s">
        <v>1846</v>
      </c>
    </row>
    <row r="15" spans="1:3" ht="31.5" customHeight="1" x14ac:dyDescent="0.2">
      <c r="A15" s="95" t="s">
        <v>1847</v>
      </c>
      <c r="B15" s="95"/>
      <c r="C15" s="95"/>
    </row>
    <row r="16" spans="1:3" x14ac:dyDescent="0.2">
      <c r="A16" s="73" t="s">
        <v>1848</v>
      </c>
      <c r="B16" s="73" t="s">
        <v>1849</v>
      </c>
      <c r="C16" s="73" t="s">
        <v>1850</v>
      </c>
    </row>
    <row r="17" spans="1:3" x14ac:dyDescent="0.2">
      <c r="A17" s="71">
        <v>0</v>
      </c>
      <c r="B17" s="71" t="s">
        <v>1851</v>
      </c>
      <c r="C17" s="71" t="s">
        <v>1852</v>
      </c>
    </row>
    <row r="18" spans="1:3" ht="27.75" customHeight="1" x14ac:dyDescent="0.2">
      <c r="A18" s="71">
        <v>0.17</v>
      </c>
      <c r="B18" s="71" t="s">
        <v>1853</v>
      </c>
      <c r="C18" s="71" t="s">
        <v>1854</v>
      </c>
    </row>
    <row r="19" spans="1:3" ht="27.75" customHeight="1" x14ac:dyDescent="0.2">
      <c r="A19" s="71">
        <v>0.33</v>
      </c>
      <c r="B19" s="71" t="s">
        <v>1855</v>
      </c>
      <c r="C19" s="71" t="s">
        <v>1856</v>
      </c>
    </row>
    <row r="20" spans="1:3" x14ac:dyDescent="0.2">
      <c r="A20" s="71">
        <v>0.5</v>
      </c>
      <c r="B20" s="71" t="s">
        <v>1857</v>
      </c>
      <c r="C20" s="71" t="s">
        <v>1858</v>
      </c>
    </row>
    <row r="21" spans="1:3" ht="27.75" customHeight="1" x14ac:dyDescent="0.2">
      <c r="A21" s="71">
        <v>0.67</v>
      </c>
      <c r="B21" s="71" t="s">
        <v>1859</v>
      </c>
      <c r="C21" s="71" t="s">
        <v>1860</v>
      </c>
    </row>
    <row r="22" spans="1:3" ht="27.75" customHeight="1" x14ac:dyDescent="0.2">
      <c r="A22" s="71">
        <v>0.83</v>
      </c>
      <c r="B22" s="71" t="s">
        <v>1861</v>
      </c>
      <c r="C22" s="71" t="s">
        <v>1862</v>
      </c>
    </row>
    <row r="23" spans="1:3" ht="27.75" customHeight="1" x14ac:dyDescent="0.2">
      <c r="A23" s="71">
        <v>1</v>
      </c>
      <c r="B23" s="71" t="s">
        <v>1863</v>
      </c>
      <c r="C23" s="71" t="s">
        <v>1864</v>
      </c>
    </row>
    <row r="25" spans="1:3" ht="24" customHeight="1" x14ac:dyDescent="0.2">
      <c r="A25" s="95" t="s">
        <v>1865</v>
      </c>
      <c r="B25" s="95"/>
      <c r="C25" s="95"/>
    </row>
    <row r="26" spans="1:3" x14ac:dyDescent="0.2">
      <c r="A26" s="73" t="s">
        <v>1848</v>
      </c>
      <c r="B26" s="73" t="s">
        <v>1849</v>
      </c>
      <c r="C26" s="73" t="s">
        <v>1850</v>
      </c>
    </row>
    <row r="27" spans="1:3" x14ac:dyDescent="0.2">
      <c r="A27" s="71">
        <v>0</v>
      </c>
      <c r="B27" s="71" t="s">
        <v>1866</v>
      </c>
      <c r="C27" s="71" t="s">
        <v>1867</v>
      </c>
    </row>
    <row r="28" spans="1:3" x14ac:dyDescent="0.2">
      <c r="A28" s="71">
        <v>0.14000000000000001</v>
      </c>
      <c r="B28" s="71" t="s">
        <v>1868</v>
      </c>
      <c r="C28" s="71" t="s">
        <v>1869</v>
      </c>
    </row>
    <row r="29" spans="1:3" ht="27.75" customHeight="1" x14ac:dyDescent="0.2">
      <c r="A29" s="71">
        <v>0.28999999999999998</v>
      </c>
      <c r="B29" s="71" t="s">
        <v>1870</v>
      </c>
      <c r="C29" s="71" t="s">
        <v>1871</v>
      </c>
    </row>
    <row r="30" spans="1:3" ht="27.75" customHeight="1" x14ac:dyDescent="0.2">
      <c r="A30" s="71">
        <v>0.43</v>
      </c>
      <c r="B30" s="71" t="s">
        <v>1872</v>
      </c>
      <c r="C30" s="71" t="s">
        <v>1873</v>
      </c>
    </row>
    <row r="31" spans="1:3" x14ac:dyDescent="0.2">
      <c r="A31" s="71">
        <v>0.56999999999999995</v>
      </c>
      <c r="B31" s="71" t="s">
        <v>1874</v>
      </c>
      <c r="C31" s="71" t="s">
        <v>1875</v>
      </c>
    </row>
    <row r="32" spans="1:3" ht="27.75" customHeight="1" x14ac:dyDescent="0.2">
      <c r="A32" s="71">
        <v>0.71</v>
      </c>
      <c r="B32" s="71" t="s">
        <v>1876</v>
      </c>
      <c r="C32" s="71" t="s">
        <v>1877</v>
      </c>
    </row>
    <row r="33" spans="1:3" x14ac:dyDescent="0.2">
      <c r="A33" s="71">
        <v>0.86</v>
      </c>
      <c r="B33" s="71" t="s">
        <v>1878</v>
      </c>
      <c r="C33" s="71" t="s">
        <v>1879</v>
      </c>
    </row>
    <row r="34" spans="1:3" x14ac:dyDescent="0.2">
      <c r="A34" s="71">
        <v>1</v>
      </c>
      <c r="B34" s="71" t="s">
        <v>1880</v>
      </c>
      <c r="C34" s="71" t="s">
        <v>1881</v>
      </c>
    </row>
    <row r="36" spans="1:3" ht="31.5" customHeight="1" x14ac:dyDescent="0.2">
      <c r="A36" s="95" t="s">
        <v>1882</v>
      </c>
      <c r="B36" s="95"/>
      <c r="C36" s="95"/>
    </row>
    <row r="37" spans="1:3" x14ac:dyDescent="0.2">
      <c r="A37" s="73" t="s">
        <v>1848</v>
      </c>
      <c r="B37" s="73" t="s">
        <v>1849</v>
      </c>
      <c r="C37" s="73" t="s">
        <v>1850</v>
      </c>
    </row>
    <row r="38" spans="1:3" x14ac:dyDescent="0.2">
      <c r="A38" s="71">
        <v>0</v>
      </c>
      <c r="B38" s="71" t="s">
        <v>1883</v>
      </c>
      <c r="C38" s="71" t="s">
        <v>1884</v>
      </c>
    </row>
    <row r="39" spans="1:3" ht="27.75" customHeight="1" x14ac:dyDescent="0.2">
      <c r="A39" s="71">
        <v>0.17</v>
      </c>
      <c r="B39" s="71" t="s">
        <v>1885</v>
      </c>
      <c r="C39" s="71" t="s">
        <v>1886</v>
      </c>
    </row>
    <row r="40" spans="1:3" x14ac:dyDescent="0.2">
      <c r="A40" s="71">
        <v>0.33</v>
      </c>
      <c r="B40" s="71" t="s">
        <v>1887</v>
      </c>
      <c r="C40" s="71" t="s">
        <v>1888</v>
      </c>
    </row>
    <row r="41" spans="1:3" ht="27.75" customHeight="1" x14ac:dyDescent="0.2">
      <c r="A41" s="71">
        <v>0.5</v>
      </c>
      <c r="B41" s="71" t="s">
        <v>1889</v>
      </c>
      <c r="C41" s="71" t="s">
        <v>1890</v>
      </c>
    </row>
    <row r="42" spans="1:3" ht="27.75" customHeight="1" x14ac:dyDescent="0.2">
      <c r="A42" s="71">
        <v>0.67</v>
      </c>
      <c r="B42" s="71" t="s">
        <v>1891</v>
      </c>
      <c r="C42" s="71" t="s">
        <v>1892</v>
      </c>
    </row>
    <row r="43" spans="1:3" ht="27.75" customHeight="1" x14ac:dyDescent="0.2">
      <c r="A43" s="71">
        <v>0.83</v>
      </c>
      <c r="B43" s="71" t="s">
        <v>1893</v>
      </c>
      <c r="C43" s="71" t="s">
        <v>1894</v>
      </c>
    </row>
    <row r="44" spans="1:3" x14ac:dyDescent="0.2">
      <c r="A44" s="71">
        <v>1</v>
      </c>
      <c r="B44" s="71" t="s">
        <v>1895</v>
      </c>
      <c r="C44" s="71" t="s">
        <v>1896</v>
      </c>
    </row>
    <row r="46" spans="1:3" ht="27.75" customHeight="1" x14ac:dyDescent="0.2">
      <c r="A46" s="95" t="s">
        <v>1897</v>
      </c>
      <c r="B46" s="95"/>
      <c r="C46" s="95"/>
    </row>
    <row r="47" spans="1:3" x14ac:dyDescent="0.2">
      <c r="A47" s="73" t="s">
        <v>1848</v>
      </c>
      <c r="B47" s="73" t="s">
        <v>1849</v>
      </c>
      <c r="C47" s="73" t="s">
        <v>1850</v>
      </c>
    </row>
    <row r="48" spans="1:3" x14ac:dyDescent="0.2">
      <c r="A48" s="71">
        <v>0</v>
      </c>
      <c r="B48" s="71" t="s">
        <v>1898</v>
      </c>
      <c r="C48" s="71" t="s">
        <v>1899</v>
      </c>
    </row>
    <row r="49" spans="1:3" x14ac:dyDescent="0.2">
      <c r="A49" s="71">
        <v>0.17</v>
      </c>
      <c r="B49" s="71" t="s">
        <v>1900</v>
      </c>
      <c r="C49" s="71" t="s">
        <v>1901</v>
      </c>
    </row>
    <row r="50" spans="1:3" ht="27.75" customHeight="1" x14ac:dyDescent="0.2">
      <c r="A50" s="71">
        <v>0.33</v>
      </c>
      <c r="B50" s="71" t="s">
        <v>1902</v>
      </c>
      <c r="C50" s="71" t="s">
        <v>1903</v>
      </c>
    </row>
    <row r="51" spans="1:3" x14ac:dyDescent="0.2">
      <c r="A51" s="71">
        <v>0.5</v>
      </c>
      <c r="B51" s="71" t="s">
        <v>1904</v>
      </c>
      <c r="C51" s="71" t="s">
        <v>1905</v>
      </c>
    </row>
    <row r="52" spans="1:3" x14ac:dyDescent="0.2">
      <c r="A52" s="71">
        <v>0.67</v>
      </c>
      <c r="B52" s="71" t="s">
        <v>1906</v>
      </c>
      <c r="C52" s="71" t="s">
        <v>1907</v>
      </c>
    </row>
    <row r="53" spans="1:3" x14ac:dyDescent="0.2">
      <c r="A53" s="71">
        <v>0.83</v>
      </c>
      <c r="B53" s="71" t="s">
        <v>1908</v>
      </c>
      <c r="C53" s="71" t="s">
        <v>1909</v>
      </c>
    </row>
    <row r="54" spans="1:3" ht="27.75" customHeight="1" x14ac:dyDescent="0.2">
      <c r="A54" s="71">
        <v>1</v>
      </c>
      <c r="B54" s="71" t="s">
        <v>1910</v>
      </c>
      <c r="C54" s="71" t="s">
        <v>1911</v>
      </c>
    </row>
    <row r="56" spans="1:3" ht="30" customHeight="1" x14ac:dyDescent="0.2">
      <c r="A56" s="95" t="s">
        <v>1912</v>
      </c>
      <c r="B56" s="95"/>
      <c r="C56" s="95"/>
    </row>
    <row r="57" spans="1:3" x14ac:dyDescent="0.2">
      <c r="A57" s="73" t="s">
        <v>1848</v>
      </c>
      <c r="B57" s="73" t="s">
        <v>1849</v>
      </c>
      <c r="C57" s="73" t="s">
        <v>1850</v>
      </c>
    </row>
    <row r="58" spans="1:3" x14ac:dyDescent="0.2">
      <c r="A58" s="71">
        <v>0</v>
      </c>
      <c r="B58" s="71" t="s">
        <v>1913</v>
      </c>
      <c r="C58" s="71" t="s">
        <v>1914</v>
      </c>
    </row>
    <row r="59" spans="1:3" x14ac:dyDescent="0.2">
      <c r="A59" s="71">
        <v>0.17</v>
      </c>
      <c r="B59" s="71" t="s">
        <v>1915</v>
      </c>
      <c r="C59" s="71" t="s">
        <v>1916</v>
      </c>
    </row>
    <row r="60" spans="1:3" x14ac:dyDescent="0.2">
      <c r="A60" s="71">
        <v>0.33</v>
      </c>
      <c r="B60" s="71" t="s">
        <v>1917</v>
      </c>
      <c r="C60" s="71" t="s">
        <v>1918</v>
      </c>
    </row>
    <row r="61" spans="1:3" x14ac:dyDescent="0.2">
      <c r="A61" s="71">
        <v>0.5</v>
      </c>
      <c r="B61" s="71" t="s">
        <v>1919</v>
      </c>
      <c r="C61" s="71" t="s">
        <v>1920</v>
      </c>
    </row>
    <row r="62" spans="1:3" x14ac:dyDescent="0.2">
      <c r="A62" s="71">
        <v>0.67</v>
      </c>
      <c r="B62" s="71" t="s">
        <v>1921</v>
      </c>
      <c r="C62" s="71" t="s">
        <v>1922</v>
      </c>
    </row>
    <row r="63" spans="1:3" x14ac:dyDescent="0.2">
      <c r="A63" s="71">
        <v>0.83</v>
      </c>
      <c r="B63" s="71" t="s">
        <v>1923</v>
      </c>
      <c r="C63" s="71" t="s">
        <v>1924</v>
      </c>
    </row>
    <row r="64" spans="1:3" x14ac:dyDescent="0.2">
      <c r="A64" s="71">
        <v>1</v>
      </c>
      <c r="B64" s="71" t="s">
        <v>1925</v>
      </c>
      <c r="C64" s="71" t="s">
        <v>1926</v>
      </c>
    </row>
    <row r="66" spans="1:3" ht="19.5" customHeight="1" x14ac:dyDescent="0.2">
      <c r="A66" s="95" t="s">
        <v>1927</v>
      </c>
      <c r="B66" s="95"/>
      <c r="C66" s="95"/>
    </row>
    <row r="67" spans="1:3" x14ac:dyDescent="0.2">
      <c r="A67" s="73" t="s">
        <v>1848</v>
      </c>
      <c r="B67" s="73" t="s">
        <v>1849</v>
      </c>
      <c r="C67" s="73" t="s">
        <v>1850</v>
      </c>
    </row>
    <row r="68" spans="1:3" x14ac:dyDescent="0.2">
      <c r="A68" s="71">
        <v>0</v>
      </c>
      <c r="B68" s="71" t="s">
        <v>1913</v>
      </c>
      <c r="C68" s="71" t="s">
        <v>1928</v>
      </c>
    </row>
    <row r="69" spans="1:3" x14ac:dyDescent="0.2">
      <c r="A69" s="71">
        <v>0.17</v>
      </c>
      <c r="B69" s="71" t="s">
        <v>1929</v>
      </c>
      <c r="C69" s="71" t="s">
        <v>1930</v>
      </c>
    </row>
    <row r="70" spans="1:3" x14ac:dyDescent="0.2">
      <c r="A70" s="71">
        <v>0.33</v>
      </c>
      <c r="B70" s="71" t="s">
        <v>1931</v>
      </c>
      <c r="C70" s="71" t="s">
        <v>1932</v>
      </c>
    </row>
    <row r="71" spans="1:3" x14ac:dyDescent="0.2">
      <c r="A71" s="71">
        <v>0.5</v>
      </c>
      <c r="B71" s="71" t="s">
        <v>1933</v>
      </c>
      <c r="C71" s="71" t="s">
        <v>1934</v>
      </c>
    </row>
    <row r="72" spans="1:3" x14ac:dyDescent="0.2">
      <c r="A72" s="71">
        <v>0.67</v>
      </c>
      <c r="B72" s="71" t="s">
        <v>1935</v>
      </c>
      <c r="C72" s="71" t="s">
        <v>1936</v>
      </c>
    </row>
    <row r="73" spans="1:3" x14ac:dyDescent="0.2">
      <c r="A73" s="71">
        <v>0.83</v>
      </c>
      <c r="B73" s="71" t="s">
        <v>1937</v>
      </c>
      <c r="C73" s="71" t="s">
        <v>1938</v>
      </c>
    </row>
    <row r="74" spans="1:3" x14ac:dyDescent="0.2">
      <c r="A74" s="71">
        <v>1</v>
      </c>
      <c r="B74" s="71" t="s">
        <v>1939</v>
      </c>
      <c r="C74" s="71" t="s">
        <v>1940</v>
      </c>
    </row>
    <row r="76" spans="1:3" ht="24.75" customHeight="1" x14ac:dyDescent="0.2">
      <c r="A76" s="95" t="s">
        <v>1941</v>
      </c>
      <c r="B76" s="95"/>
      <c r="C76" s="95"/>
    </row>
    <row r="77" spans="1:3" x14ac:dyDescent="0.2">
      <c r="A77" s="73" t="s">
        <v>1848</v>
      </c>
      <c r="B77" s="73" t="s">
        <v>1849</v>
      </c>
      <c r="C77" s="73" t="s">
        <v>1850</v>
      </c>
    </row>
    <row r="78" spans="1:3" x14ac:dyDescent="0.2">
      <c r="A78" s="71">
        <v>0</v>
      </c>
      <c r="B78" s="71" t="s">
        <v>1913</v>
      </c>
      <c r="C78" s="71" t="s">
        <v>1942</v>
      </c>
    </row>
    <row r="79" spans="1:3" x14ac:dyDescent="0.2">
      <c r="A79" s="71">
        <v>0.14000000000000001</v>
      </c>
      <c r="B79" s="71" t="s">
        <v>1943</v>
      </c>
      <c r="C79" s="71" t="s">
        <v>1944</v>
      </c>
    </row>
    <row r="80" spans="1:3" x14ac:dyDescent="0.2">
      <c r="A80" s="71">
        <v>0.28999999999999998</v>
      </c>
      <c r="B80" s="71" t="s">
        <v>1945</v>
      </c>
      <c r="C80" s="71" t="s">
        <v>1946</v>
      </c>
    </row>
    <row r="81" spans="1:3" x14ac:dyDescent="0.2">
      <c r="A81" s="71">
        <v>0.43</v>
      </c>
      <c r="B81" s="71" t="s">
        <v>1947</v>
      </c>
      <c r="C81" s="71" t="s">
        <v>1948</v>
      </c>
    </row>
    <row r="82" spans="1:3" x14ac:dyDescent="0.2">
      <c r="A82" s="71">
        <v>0.56999999999999995</v>
      </c>
      <c r="B82" s="71" t="s">
        <v>1949</v>
      </c>
      <c r="C82" s="71" t="s">
        <v>1950</v>
      </c>
    </row>
    <row r="83" spans="1:3" x14ac:dyDescent="0.2">
      <c r="A83" s="71">
        <v>0.71</v>
      </c>
      <c r="B83" s="71" t="s">
        <v>1951</v>
      </c>
      <c r="C83" s="71" t="s">
        <v>1952</v>
      </c>
    </row>
    <row r="84" spans="1:3" x14ac:dyDescent="0.2">
      <c r="A84" s="71">
        <v>0.86</v>
      </c>
      <c r="B84" s="71" t="s">
        <v>1953</v>
      </c>
      <c r="C84" s="71" t="s">
        <v>1954</v>
      </c>
    </row>
    <row r="85" spans="1:3" x14ac:dyDescent="0.2">
      <c r="A85" s="71">
        <v>1</v>
      </c>
      <c r="B85" s="71" t="s">
        <v>1955</v>
      </c>
      <c r="C85" s="71" t="s">
        <v>1956</v>
      </c>
    </row>
    <row r="87" spans="1:3" ht="27" customHeight="1" x14ac:dyDescent="0.2">
      <c r="A87" s="95" t="s">
        <v>1957</v>
      </c>
      <c r="B87" s="95"/>
      <c r="C87" s="95"/>
    </row>
    <row r="88" spans="1:3" x14ac:dyDescent="0.2">
      <c r="A88" s="73" t="s">
        <v>1848</v>
      </c>
      <c r="B88" s="73" t="s">
        <v>1849</v>
      </c>
      <c r="C88" s="73" t="s">
        <v>1850</v>
      </c>
    </row>
    <row r="89" spans="1:3" x14ac:dyDescent="0.2">
      <c r="A89" s="71">
        <v>0</v>
      </c>
      <c r="B89" s="71" t="s">
        <v>1958</v>
      </c>
      <c r="C89" s="71" t="s">
        <v>1959</v>
      </c>
    </row>
    <row r="90" spans="1:3" x14ac:dyDescent="0.2">
      <c r="A90" s="71">
        <v>0.5</v>
      </c>
      <c r="B90" s="71" t="s">
        <v>1960</v>
      </c>
      <c r="C90" s="71" t="s">
        <v>1961</v>
      </c>
    </row>
    <row r="91" spans="1:3" x14ac:dyDescent="0.2">
      <c r="A91" s="71">
        <v>1</v>
      </c>
      <c r="B91" s="71" t="s">
        <v>1962</v>
      </c>
      <c r="C91" s="71" t="s">
        <v>1963</v>
      </c>
    </row>
  </sheetData>
  <mergeCells count="8">
    <mergeCell ref="A66:C66"/>
    <mergeCell ref="A76:C76"/>
    <mergeCell ref="A87:C87"/>
    <mergeCell ref="A15:C15"/>
    <mergeCell ref="A25:C25"/>
    <mergeCell ref="A36:C36"/>
    <mergeCell ref="A46:C46"/>
    <mergeCell ref="A56:C56"/>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4"/>
  <sheetViews>
    <sheetView topLeftCell="A7" zoomScaleNormal="100" workbookViewId="0">
      <selection activeCell="F23" sqref="F23"/>
    </sheetView>
  </sheetViews>
  <sheetFormatPr baseColWidth="10" defaultColWidth="10.6640625" defaultRowHeight="15" x14ac:dyDescent="0.2"/>
  <cols>
    <col min="1" max="1" width="14.33203125" customWidth="1"/>
    <col min="2" max="2" width="28" customWidth="1"/>
  </cols>
  <sheetData>
    <row r="1" spans="1:18" x14ac:dyDescent="0.2">
      <c r="A1" s="74"/>
      <c r="B1" s="74"/>
      <c r="C1" s="96">
        <v>2026</v>
      </c>
      <c r="D1" s="96"/>
      <c r="E1" s="96"/>
      <c r="F1" s="96"/>
      <c r="G1" s="96">
        <v>2027</v>
      </c>
      <c r="H1" s="96"/>
      <c r="I1" s="96"/>
      <c r="J1" s="96"/>
      <c r="K1" s="96">
        <v>2028</v>
      </c>
      <c r="L1" s="96"/>
      <c r="M1" s="96"/>
      <c r="N1" s="96"/>
      <c r="O1" s="96">
        <v>2029</v>
      </c>
      <c r="P1" s="96"/>
      <c r="Q1" s="96"/>
      <c r="R1" s="96"/>
    </row>
    <row r="2" spans="1:18" x14ac:dyDescent="0.2">
      <c r="A2" s="74"/>
      <c r="B2" s="74"/>
      <c r="C2" s="75" t="s">
        <v>1964</v>
      </c>
      <c r="D2" s="75" t="s">
        <v>1965</v>
      </c>
      <c r="E2" s="75" t="s">
        <v>1966</v>
      </c>
      <c r="F2" s="75" t="s">
        <v>1967</v>
      </c>
      <c r="G2" s="75" t="s">
        <v>1964</v>
      </c>
      <c r="H2" s="75" t="s">
        <v>1965</v>
      </c>
      <c r="I2" s="75" t="s">
        <v>1966</v>
      </c>
      <c r="J2" s="75" t="s">
        <v>1967</v>
      </c>
      <c r="K2" s="75" t="s">
        <v>1964</v>
      </c>
      <c r="L2" s="75" t="s">
        <v>1965</v>
      </c>
      <c r="M2" s="75" t="s">
        <v>1966</v>
      </c>
      <c r="N2" s="75" t="s">
        <v>1967</v>
      </c>
      <c r="O2" s="75" t="s">
        <v>1964</v>
      </c>
      <c r="P2" s="75" t="s">
        <v>1965</v>
      </c>
      <c r="Q2" s="75" t="s">
        <v>1966</v>
      </c>
      <c r="R2" s="75" t="s">
        <v>1967</v>
      </c>
    </row>
    <row r="3" spans="1:18" ht="15" customHeight="1" x14ac:dyDescent="0.2">
      <c r="A3" s="97" t="s">
        <v>1968</v>
      </c>
      <c r="B3" s="76" t="s">
        <v>1969</v>
      </c>
      <c r="C3" s="77"/>
      <c r="D3" s="77"/>
      <c r="E3" s="78"/>
      <c r="F3" s="77"/>
      <c r="G3" s="77"/>
      <c r="H3" s="77"/>
      <c r="I3" s="77"/>
      <c r="J3" s="77"/>
      <c r="K3" s="77"/>
      <c r="L3" s="77"/>
      <c r="M3" s="77"/>
      <c r="N3" s="77"/>
      <c r="O3" s="79"/>
      <c r="P3" s="79"/>
      <c r="Q3" s="79"/>
      <c r="R3" s="80"/>
    </row>
    <row r="4" spans="1:18" x14ac:dyDescent="0.2">
      <c r="A4" s="97"/>
      <c r="B4" s="76" t="s">
        <v>1970</v>
      </c>
      <c r="C4" s="77"/>
      <c r="D4" s="77"/>
      <c r="E4" s="78"/>
      <c r="F4" s="77"/>
      <c r="G4" s="81"/>
      <c r="H4" s="79"/>
      <c r="I4" s="79"/>
      <c r="J4" s="79"/>
      <c r="K4" s="79"/>
      <c r="L4" s="79"/>
      <c r="M4" s="79"/>
      <c r="N4" s="79"/>
      <c r="O4" s="79"/>
      <c r="P4" s="79"/>
      <c r="Q4" s="79"/>
      <c r="R4" s="80"/>
    </row>
    <row r="5" spans="1:18" x14ac:dyDescent="0.2">
      <c r="A5" s="97"/>
      <c r="B5" s="76" t="s">
        <v>1971</v>
      </c>
      <c r="C5" s="77"/>
      <c r="D5" s="77"/>
      <c r="E5" s="78"/>
      <c r="F5" s="77"/>
      <c r="G5" s="81"/>
      <c r="H5" s="79"/>
      <c r="I5" s="79"/>
      <c r="J5" s="79"/>
      <c r="K5" s="79"/>
      <c r="L5" s="79"/>
      <c r="M5" s="79"/>
      <c r="N5" s="79"/>
      <c r="O5" s="79"/>
      <c r="P5" s="79"/>
      <c r="Q5" s="79"/>
      <c r="R5" s="80"/>
    </row>
    <row r="6" spans="1:18" x14ac:dyDescent="0.2">
      <c r="A6" s="97"/>
      <c r="B6" s="76" t="s">
        <v>1972</v>
      </c>
      <c r="C6" s="77"/>
      <c r="D6" s="77"/>
      <c r="E6" s="78"/>
      <c r="F6" s="77"/>
      <c r="G6" s="81"/>
      <c r="H6" s="81"/>
      <c r="I6" s="79"/>
      <c r="J6" s="79"/>
      <c r="K6" s="79"/>
      <c r="L6" s="79"/>
      <c r="M6" s="79"/>
      <c r="N6" s="79"/>
      <c r="O6" s="79"/>
      <c r="P6" s="79"/>
      <c r="Q6" s="79"/>
      <c r="R6" s="80"/>
    </row>
    <row r="7" spans="1:18" ht="15" customHeight="1" x14ac:dyDescent="0.2">
      <c r="A7" s="97" t="s">
        <v>1973</v>
      </c>
      <c r="B7" s="76" t="s">
        <v>1974</v>
      </c>
      <c r="C7" s="79"/>
      <c r="D7" s="77"/>
      <c r="E7" s="78"/>
      <c r="F7" s="77"/>
      <c r="G7" s="77"/>
      <c r="H7" s="79"/>
      <c r="I7" s="81"/>
      <c r="J7" s="81"/>
      <c r="K7" s="81"/>
      <c r="L7" s="81"/>
      <c r="M7" s="79"/>
      <c r="N7" s="81"/>
      <c r="O7" s="81"/>
      <c r="P7" s="81"/>
      <c r="Q7" s="81"/>
      <c r="R7" s="80"/>
    </row>
    <row r="8" spans="1:18" x14ac:dyDescent="0.2">
      <c r="A8" s="97"/>
      <c r="B8" s="76" t="s">
        <v>1975</v>
      </c>
      <c r="C8" s="79"/>
      <c r="D8" s="79"/>
      <c r="E8" s="82"/>
      <c r="F8" s="81"/>
      <c r="G8" s="81"/>
      <c r="H8" s="81"/>
      <c r="I8" s="79"/>
      <c r="J8" s="81"/>
      <c r="K8" s="81"/>
      <c r="L8" s="81"/>
      <c r="M8" s="81"/>
      <c r="N8" s="79"/>
      <c r="O8" s="81"/>
      <c r="P8" s="81"/>
      <c r="Q8" s="81"/>
      <c r="R8" s="82"/>
    </row>
    <row r="9" spans="1:18" x14ac:dyDescent="0.2">
      <c r="A9" s="97"/>
      <c r="B9" s="76" t="s">
        <v>1976</v>
      </c>
      <c r="C9" s="79"/>
      <c r="D9" s="79"/>
      <c r="E9" s="80"/>
      <c r="F9" s="81"/>
      <c r="G9" s="81"/>
      <c r="H9" s="81"/>
      <c r="I9" s="81"/>
      <c r="J9" s="79"/>
      <c r="K9" s="81"/>
      <c r="L9" s="81"/>
      <c r="M9" s="81"/>
      <c r="N9" s="81"/>
      <c r="O9" s="79"/>
      <c r="P9" s="81"/>
      <c r="Q9" s="81"/>
      <c r="R9" s="82"/>
    </row>
    <row r="10" spans="1:18" ht="15" customHeight="1" x14ac:dyDescent="0.2">
      <c r="A10" s="97" t="s">
        <v>1977</v>
      </c>
      <c r="B10" s="76" t="s">
        <v>1978</v>
      </c>
      <c r="C10" s="79"/>
      <c r="D10" s="79"/>
      <c r="E10" s="82"/>
      <c r="F10" s="81"/>
      <c r="G10" s="81"/>
      <c r="H10" s="79"/>
      <c r="I10" s="79"/>
      <c r="J10" s="81"/>
      <c r="K10" s="81"/>
      <c r="L10" s="81"/>
      <c r="M10" s="79"/>
      <c r="N10" s="79"/>
      <c r="O10" s="81"/>
      <c r="P10" s="81"/>
      <c r="Q10" s="81"/>
      <c r="R10" s="82"/>
    </row>
    <row r="11" spans="1:18" x14ac:dyDescent="0.2">
      <c r="A11" s="97"/>
      <c r="B11" s="76" t="s">
        <v>1979</v>
      </c>
      <c r="C11" s="79"/>
      <c r="D11" s="79"/>
      <c r="E11" s="82"/>
      <c r="F11" s="81"/>
      <c r="G11" s="81"/>
      <c r="H11" s="81"/>
      <c r="I11" s="79"/>
      <c r="J11" s="81"/>
      <c r="K11" s="81"/>
      <c r="L11" s="81"/>
      <c r="M11" s="81"/>
      <c r="N11" s="79"/>
      <c r="O11" s="81"/>
      <c r="P11" s="81"/>
      <c r="Q11" s="81"/>
      <c r="R11" s="82"/>
    </row>
    <row r="12" spans="1:18" x14ac:dyDescent="0.2">
      <c r="A12" s="97"/>
      <c r="B12" s="76" t="s">
        <v>1980</v>
      </c>
      <c r="C12" s="79"/>
      <c r="D12" s="79"/>
      <c r="E12" s="80"/>
      <c r="F12" s="81"/>
      <c r="G12" s="81"/>
      <c r="H12" s="81"/>
      <c r="I12" s="81"/>
      <c r="J12" s="79"/>
      <c r="K12" s="81"/>
      <c r="L12" s="81"/>
      <c r="M12" s="81"/>
      <c r="N12" s="81"/>
      <c r="O12" s="81"/>
      <c r="P12" s="81"/>
      <c r="Q12" s="81"/>
      <c r="R12" s="82"/>
    </row>
    <row r="13" spans="1:18" x14ac:dyDescent="0.2">
      <c r="A13" s="74"/>
      <c r="B13" s="74"/>
      <c r="C13" s="83"/>
      <c r="D13" s="83"/>
      <c r="E13" s="83"/>
      <c r="F13" s="83"/>
      <c r="G13" s="83"/>
      <c r="H13" s="83"/>
      <c r="I13" s="83"/>
      <c r="J13" s="83"/>
      <c r="K13" s="83"/>
      <c r="L13" s="83"/>
      <c r="M13" s="83"/>
      <c r="N13" s="83"/>
      <c r="O13" s="83"/>
      <c r="P13" s="83"/>
      <c r="Q13" s="83"/>
      <c r="R13" s="83"/>
    </row>
    <row r="14" spans="1:18" x14ac:dyDescent="0.2">
      <c r="A14" s="74"/>
      <c r="B14" s="74"/>
      <c r="C14" s="74"/>
      <c r="D14" s="74"/>
      <c r="E14" s="74"/>
      <c r="F14" s="74"/>
      <c r="G14" s="74"/>
      <c r="H14" s="74"/>
      <c r="I14" s="74"/>
      <c r="J14" s="74"/>
      <c r="K14" s="74"/>
      <c r="L14" s="74"/>
      <c r="M14" s="74"/>
      <c r="N14" s="74"/>
      <c r="O14" s="74"/>
      <c r="P14" s="74"/>
      <c r="Q14" s="74"/>
      <c r="R14" s="74"/>
    </row>
    <row r="15" spans="1:18" x14ac:dyDescent="0.2">
      <c r="A15" s="84"/>
      <c r="B15" s="2" t="s">
        <v>1981</v>
      </c>
      <c r="C15" s="74"/>
      <c r="D15" s="74"/>
      <c r="E15" s="74"/>
      <c r="F15" s="74"/>
      <c r="G15" s="74"/>
      <c r="H15" s="74"/>
      <c r="I15" s="74"/>
      <c r="J15" s="74"/>
      <c r="K15" s="74"/>
      <c r="L15" s="74"/>
      <c r="M15" s="74"/>
      <c r="N15" s="74"/>
      <c r="O15" s="74"/>
      <c r="P15" s="74"/>
      <c r="Q15" s="74"/>
      <c r="R15" s="74"/>
    </row>
    <row r="16" spans="1:18" x14ac:dyDescent="0.2">
      <c r="A16" s="74"/>
      <c r="B16" s="74"/>
      <c r="C16" s="74"/>
      <c r="D16" s="74"/>
      <c r="E16" s="74"/>
      <c r="F16" s="74"/>
      <c r="G16" s="74"/>
      <c r="H16" s="74"/>
      <c r="I16" s="74"/>
      <c r="J16" s="74"/>
      <c r="K16" s="74"/>
      <c r="L16" s="74"/>
      <c r="M16" s="74"/>
      <c r="N16" s="74"/>
      <c r="O16" s="74"/>
      <c r="P16" s="74"/>
      <c r="Q16" s="74"/>
      <c r="R16" s="74"/>
    </row>
    <row r="17" spans="1:18" x14ac:dyDescent="0.2">
      <c r="A17" s="74"/>
      <c r="B17" s="74"/>
      <c r="C17" s="74"/>
      <c r="D17" s="74"/>
      <c r="E17" s="74"/>
      <c r="F17" s="74"/>
      <c r="G17" s="74"/>
      <c r="H17" s="74"/>
      <c r="I17" s="74"/>
      <c r="J17" s="74"/>
      <c r="K17" s="74"/>
      <c r="L17" s="74"/>
      <c r="M17" s="74"/>
      <c r="N17" s="74"/>
      <c r="O17" s="74"/>
      <c r="P17" s="74"/>
      <c r="Q17" s="74"/>
      <c r="R17" s="74"/>
    </row>
    <row r="18" spans="1:18" x14ac:dyDescent="0.2">
      <c r="A18" s="74"/>
      <c r="B18" s="74"/>
      <c r="C18" s="74"/>
      <c r="D18" s="74"/>
      <c r="E18" s="74"/>
      <c r="F18" s="74"/>
      <c r="G18" s="74"/>
      <c r="H18" s="74"/>
      <c r="I18" s="74"/>
      <c r="J18" s="74"/>
      <c r="K18" s="74"/>
      <c r="L18" s="74"/>
      <c r="M18" s="74"/>
      <c r="N18" s="74"/>
      <c r="O18" s="74"/>
      <c r="P18" s="74"/>
      <c r="Q18" s="74"/>
      <c r="R18" s="74"/>
    </row>
    <row r="22" spans="1:18" ht="32" x14ac:dyDescent="0.2">
      <c r="A22" s="86" t="s">
        <v>2129</v>
      </c>
      <c r="B22" s="91" t="s">
        <v>2126</v>
      </c>
    </row>
    <row r="23" spans="1:18" ht="96" x14ac:dyDescent="0.2">
      <c r="B23" s="91" t="s">
        <v>2127</v>
      </c>
      <c r="D23" s="86" t="s">
        <v>2142</v>
      </c>
      <c r="E23" s="86" t="s">
        <v>2143</v>
      </c>
      <c r="F23" s="86" t="s">
        <v>2144</v>
      </c>
    </row>
    <row r="24" spans="1:18" ht="32" x14ac:dyDescent="0.2">
      <c r="B24" s="91" t="s">
        <v>2128</v>
      </c>
    </row>
  </sheetData>
  <mergeCells count="7">
    <mergeCell ref="O1:R1"/>
    <mergeCell ref="A3:A6"/>
    <mergeCell ref="A7:A9"/>
    <mergeCell ref="A10:A12"/>
    <mergeCell ref="C1:F1"/>
    <mergeCell ref="G1:J1"/>
    <mergeCell ref="K1:N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 me</vt:lpstr>
      <vt:lpstr>Articles</vt:lpstr>
      <vt:lpstr>Summary</vt:lpstr>
      <vt:lpstr>Axis scoring</vt:lpstr>
      <vt:lpstr>Axis Fla</vt:lpstr>
      <vt:lpstr>Axis Fla criteria</vt:lpstr>
      <vt:lpstr>GANTT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Flavia Ferrus Marimon</cp:lastModifiedBy>
  <cp:revision>3</cp:revision>
  <dcterms:created xsi:type="dcterms:W3CDTF">2026-06-18T09:37:50Z</dcterms:created>
  <dcterms:modified xsi:type="dcterms:W3CDTF">2026-08-23T17:48:15Z</dcterms:modified>
  <dc:language>en-US</dc:language>
</cp:coreProperties>
</file>